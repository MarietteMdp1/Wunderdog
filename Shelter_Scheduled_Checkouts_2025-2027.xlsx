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coming Checkouts" sheetId="1" state="visible" r:id="rId1"/>
    <sheet name="All Shelter Checkouts" sheetId="2" state="visible" r:id="rId2"/>
    <sheet name="Summary by Shelter" sheetId="3" state="visible" r:id="rId3"/>
    <sheet name="Notes &amp; Method" sheetId="4" state="visible" r:id="rId4"/>
  </sheets>
  <definedNames>
    <definedName name="_xlnm._FilterDatabase" localSheetId="0" hidden="1">'Upcoming Checkouts'!$A$4:$Z$9</definedName>
    <definedName name="_xlnm._FilterDatabase" localSheetId="1" hidden="1">'All Shelter Checkouts'!$A$4:$Z$68</definedName>
  </definedNames>
  <calcPr calcId="124519" fullCalcOnLoad="1"/>
</workbook>
</file>

<file path=xl/styles.xml><?xml version="1.0" encoding="utf-8"?>
<styleSheet xmlns="http://schemas.openxmlformats.org/spreadsheetml/2006/main">
  <numFmts count="4">
    <numFmt numFmtId="164" formatCode="yyyy-mm-dd h:mm:ss"/>
    <numFmt numFmtId="165" formatCode="dd-mmm-yyyy"/>
    <numFmt numFmtId="166" formatCode="dd-mmm-yyyy hh:mm"/>
    <numFmt numFmtId="167" formatCode="#,##0.00;(#,##0.00);-"/>
  </numFmts>
  <fonts count="6">
    <font>
      <name val="Calibri"/>
      <family val="2"/>
      <color theme="1"/>
      <sz val="11"/>
      <scheme val="minor"/>
    </font>
    <font>
      <name val="Arial"/>
      <b val="1"/>
      <color rgb="001F3864"/>
      <sz val="14"/>
    </font>
    <font>
      <name val="Arial"/>
      <i val="1"/>
      <color rgb="00595959"/>
      <sz val="9"/>
    </font>
    <font>
      <name val="Arial"/>
      <b val="1"/>
      <color rgb="00FFFFFF"/>
      <sz val="10"/>
    </font>
    <font>
      <name val="Arial"/>
      <sz val="10"/>
    </font>
    <font>
      <name val="Arial"/>
      <b val="1"/>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top"/>
    </xf>
    <xf numFmtId="165" fontId="4" fillId="3" borderId="1" applyAlignment="1" pivotButton="0" quotePrefix="0" xfId="0">
      <alignment horizontal="center" vertical="top"/>
    </xf>
    <xf numFmtId="0" fontId="4" fillId="3" borderId="1" applyAlignment="1" pivotButton="0" quotePrefix="0" xfId="0">
      <alignment horizontal="center" vertical="top"/>
    </xf>
    <xf numFmtId="166" fontId="4" fillId="3" borderId="1" applyAlignment="1" pivotButton="0" quotePrefix="0" xfId="0">
      <alignment horizontal="left" vertical="top"/>
    </xf>
    <xf numFmtId="0" fontId="4" fillId="3" borderId="1" applyAlignment="1" pivotButton="0" quotePrefix="0" xfId="0">
      <alignment horizontal="left" vertical="top" wrapText="1"/>
    </xf>
    <xf numFmtId="167" fontId="4" fillId="3" borderId="1" applyAlignment="1" pivotButton="0" quotePrefix="0" xfId="0">
      <alignment horizontal="right" vertical="top"/>
    </xf>
    <xf numFmtId="0" fontId="5" fillId="0" borderId="0" pivotButton="0" quotePrefix="0" xfId="0"/>
    <xf numFmtId="0" fontId="4" fillId="0" borderId="1" applyAlignment="1" pivotButton="0" quotePrefix="0" xfId="0">
      <alignment horizontal="left" vertical="top"/>
    </xf>
    <xf numFmtId="165" fontId="4" fillId="0" borderId="1" applyAlignment="1" pivotButton="0" quotePrefix="0" xfId="0">
      <alignment horizontal="center" vertical="top"/>
    </xf>
    <xf numFmtId="0" fontId="4" fillId="0" borderId="1" applyAlignment="1" pivotButton="0" quotePrefix="0" xfId="0">
      <alignment horizontal="center" vertical="top"/>
    </xf>
    <xf numFmtId="166" fontId="4" fillId="0" borderId="1" applyAlignment="1" pivotButton="0" quotePrefix="0" xfId="0">
      <alignment horizontal="left" vertical="top"/>
    </xf>
    <xf numFmtId="0" fontId="4" fillId="0" borderId="1" applyAlignment="1" pivotButton="0" quotePrefix="0" xfId="0">
      <alignment horizontal="left" vertical="top" wrapText="1"/>
    </xf>
    <xf numFmtId="167" fontId="4" fillId="0" borderId="1" applyAlignment="1" pivotButton="0" quotePrefix="0" xfId="0">
      <alignment horizontal="right" vertical="top"/>
    </xf>
    <xf numFmtId="0" fontId="4" fillId="0" borderId="1" applyAlignment="1" pivotButton="0" quotePrefix="0" xfId="0">
      <alignment horizontal="left"/>
    </xf>
    <xf numFmtId="0" fontId="4" fillId="0" borderId="1" applyAlignment="1" pivotButton="0" quotePrefix="0" xfId="0">
      <alignment horizontal="center"/>
    </xf>
    <xf numFmtId="165" fontId="4" fillId="0" borderId="1" applyAlignment="1" pivotButton="0" quotePrefix="0" xfId="0">
      <alignment horizontal="center"/>
    </xf>
    <xf numFmtId="167" fontId="4" fillId="0" borderId="1" applyAlignment="1" pivotButton="0" quotePrefix="0" xfId="0">
      <alignment horizontal="right"/>
    </xf>
    <xf numFmtId="0" fontId="5" fillId="4" borderId="1" applyAlignment="1" pivotButton="0" quotePrefix="0" xfId="0">
      <alignment horizontal="left"/>
    </xf>
    <xf numFmtId="0" fontId="5" fillId="4" borderId="1" applyAlignment="1" pivotButton="0" quotePrefix="0" xfId="0">
      <alignment horizontal="center"/>
    </xf>
    <xf numFmtId="165" fontId="5" fillId="4" borderId="1" applyAlignment="1" pivotButton="0" quotePrefix="0" xfId="0">
      <alignment horizontal="center"/>
    </xf>
    <xf numFmtId="167" fontId="5" fillId="4" borderId="1" applyAlignment="1" pivotButton="0" quotePrefix="0" xfId="0">
      <alignment horizontal="right"/>
    </xf>
    <xf numFmtId="0" fontId="5"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1" customWidth="1" min="3" max="3"/>
    <col width="12" customWidth="1" min="4" max="4"/>
    <col width="12" customWidth="1" min="5" max="5"/>
    <col width="32" customWidth="1" min="6" max="6"/>
    <col width="17" customWidth="1" min="7" max="7"/>
    <col width="11" customWidth="1" min="8" max="8"/>
    <col width="14" customWidth="1" min="9" max="9"/>
    <col width="21" customWidth="1" min="10" max="10"/>
    <col width="18" customWidth="1" min="11" max="11"/>
    <col width="46" customWidth="1" min="12" max="12"/>
    <col width="14" customWidth="1" min="13" max="13"/>
    <col width="18" customWidth="1" min="14" max="14"/>
    <col width="11" customWidth="1" min="15" max="15"/>
    <col width="11" customWidth="1" min="16" max="16"/>
    <col width="11" customWidth="1" min="17" max="17"/>
    <col width="12" customWidth="1" min="18" max="18"/>
    <col width="15" customWidth="1" min="19" max="19"/>
    <col width="15" customWidth="1" min="20" max="20"/>
    <col width="12" customWidth="1" min="21" max="21"/>
    <col width="20" customWidth="1" min="22" max="22"/>
    <col width="17" customWidth="1" min="23" max="23"/>
    <col width="10" customWidth="1" min="24" max="24"/>
    <col width="52" customWidth="1" min="25" max="25"/>
    <col width="13" customWidth="1" min="26" max="26"/>
  </cols>
  <sheetData>
    <row r="1">
      <c r="A1" s="1" t="inlineStr">
        <is>
          <t>Scheduled (Upcoming) Shelter Checkouts</t>
        </is>
      </c>
    </row>
    <row r="2">
      <c r="A2" s="2" t="inlineStr">
        <is>
          <t>Checkouts for the five shelters whose delivery date falls on or after 19 Sep 2026. Source: checkouts_template_2025-01-01_to_2027-12-31.xlsx, sheet "Checkouts (Template)".</t>
        </is>
      </c>
    </row>
    <row r="4">
      <c r="A4" s="3" t="inlineStr">
        <is>
          <t>Shelter</t>
        </is>
      </c>
      <c r="B4" s="3" t="inlineStr">
        <is>
          <t>Delivery Date</t>
        </is>
      </c>
      <c r="C4" s="3" t="inlineStr">
        <is>
          <t>Timing</t>
        </is>
      </c>
      <c r="D4" s="3" t="inlineStr">
        <is>
          <t>Checkout #</t>
        </is>
      </c>
      <c r="E4" s="3" t="inlineStr">
        <is>
          <t>Customer #</t>
        </is>
      </c>
      <c r="F4" s="3" t="inlineStr">
        <is>
          <t>Customer Name</t>
        </is>
      </c>
      <c r="G4" s="3" t="inlineStr">
        <is>
          <t>Subscription Plan</t>
        </is>
      </c>
      <c r="H4" s="3" t="inlineStr">
        <is>
          <t>Wunderbar</t>
        </is>
      </c>
      <c r="I4" s="3" t="inlineStr">
        <is>
          <t>Invoice Date</t>
        </is>
      </c>
      <c r="J4" s="3" t="inlineStr">
        <is>
          <t>Payment Date Captured</t>
        </is>
      </c>
      <c r="K4" s="3" t="inlineStr">
        <is>
          <t>End of Subscription</t>
        </is>
      </c>
      <c r="L4" s="3" t="inlineStr">
        <is>
          <t>Items</t>
        </is>
      </c>
      <c r="M4" s="3" t="inlineStr">
        <is>
          <t>Delivery Dates</t>
        </is>
      </c>
      <c r="N4" s="3" t="inlineStr">
        <is>
          <t>Subscription Status</t>
        </is>
      </c>
      <c r="O4" s="3" t="inlineStr">
        <is>
          <t>Subtotal</t>
        </is>
      </c>
      <c r="P4" s="3" t="inlineStr">
        <is>
          <t>Discount</t>
        </is>
      </c>
      <c r="Q4" s="3" t="inlineStr">
        <is>
          <t>Amount</t>
        </is>
      </c>
      <c r="R4" s="3" t="inlineStr">
        <is>
          <t>VAT Amount</t>
        </is>
      </c>
      <c r="S4" s="3" t="inlineStr">
        <is>
          <t>Delivery Charge</t>
        </is>
      </c>
      <c r="T4" s="3" t="inlineStr">
        <is>
          <t>Region</t>
        </is>
      </c>
      <c r="U4" s="3" t="inlineStr">
        <is>
          <t>Status</t>
        </is>
      </c>
      <c r="V4" s="3" t="inlineStr">
        <is>
          <t>Payment Type</t>
        </is>
      </c>
      <c r="W4" s="3" t="inlineStr">
        <is>
          <t>Checkout Type</t>
        </is>
      </c>
      <c r="X4" s="3" t="inlineStr">
        <is>
          <t>Donation</t>
        </is>
      </c>
      <c r="Y4" s="3" t="inlineStr">
        <is>
          <t>Comments</t>
        </is>
      </c>
      <c r="Z4" s="3" t="inlineStr">
        <is>
          <t>Attempt Count</t>
        </is>
      </c>
    </row>
    <row r="5">
      <c r="A5" s="4" t="inlineStr">
        <is>
          <t>Haven of Hope</t>
        </is>
      </c>
      <c r="B5" s="5" t="n">
        <v>46286</v>
      </c>
      <c r="C5" s="6" t="inlineStr">
        <is>
          <t>Upcoming</t>
        </is>
      </c>
      <c r="D5" s="4" t="n">
        <v>75015</v>
      </c>
      <c r="E5" s="4" t="n">
        <v>41785</v>
      </c>
      <c r="F5" s="4" t="inlineStr">
        <is>
          <t>Haven Of Hope Rescue</t>
        </is>
      </c>
      <c r="G5" s="4" t="inlineStr">
        <is>
          <t>-</t>
        </is>
      </c>
      <c r="H5" s="4" t="inlineStr">
        <is>
          <t>No</t>
        </is>
      </c>
      <c r="I5" s="5" t="n">
        <v>46253</v>
      </c>
      <c r="J5" s="7" t="n"/>
      <c r="K5" s="4" t="inlineStr">
        <is>
          <t>-</t>
        </is>
      </c>
      <c r="L5" s="8" t="inlineStr">
        <is>
          <t>Samples x 1</t>
        </is>
      </c>
      <c r="M5" s="4" t="inlineStr">
        <is>
          <t>21-09-2026</t>
        </is>
      </c>
      <c r="N5" s="4" t="inlineStr">
        <is>
          <t>Not Subscribed</t>
        </is>
      </c>
      <c r="O5" s="9" t="n">
        <v>0</v>
      </c>
      <c r="P5" s="9" t="n">
        <v>0</v>
      </c>
      <c r="Q5" s="9" t="n">
        <v>0</v>
      </c>
      <c r="R5" s="9" t="n">
        <v>0</v>
      </c>
      <c r="S5" s="9" t="n">
        <v>0</v>
      </c>
      <c r="T5" s="6" t="inlineStr">
        <is>
          <t>Dubai</t>
        </is>
      </c>
      <c r="U5" s="6" t="inlineStr">
        <is>
          <t>Successful</t>
        </is>
      </c>
      <c r="V5" s="4" t="inlineStr">
        <is>
          <t>Complimentary</t>
        </is>
      </c>
      <c r="W5" s="4" t="inlineStr">
        <is>
          <t>Separate Invoice</t>
        </is>
      </c>
      <c r="X5" s="4" t="inlineStr">
        <is>
          <t>No</t>
        </is>
      </c>
      <c r="Y5" s="8" t="n"/>
      <c r="Z5" s="4" t="n"/>
    </row>
    <row r="6">
      <c r="A6" s="4" t="inlineStr">
        <is>
          <t>Stray Dogs Center</t>
        </is>
      </c>
      <c r="B6" s="5" t="n">
        <v>46290</v>
      </c>
      <c r="C6" s="6" t="inlineStr">
        <is>
          <t>Upcoming</t>
        </is>
      </c>
      <c r="D6" s="4" t="n">
        <v>75006</v>
      </c>
      <c r="E6" s="4" t="n">
        <v>40246</v>
      </c>
      <c r="F6" s="4" t="inlineStr">
        <is>
          <t>Stray Dogs Center</t>
        </is>
      </c>
      <c r="G6" s="4" t="inlineStr">
        <is>
          <t>-</t>
        </is>
      </c>
      <c r="H6" s="4" t="inlineStr">
        <is>
          <t>No</t>
        </is>
      </c>
      <c r="I6" s="5" t="n">
        <v>46253</v>
      </c>
      <c r="J6" s="7" t="n"/>
      <c r="K6" s="4" t="inlineStr">
        <is>
          <t>-</t>
        </is>
      </c>
      <c r="L6" s="8" t="inlineStr">
        <is>
          <t>Samples x 1</t>
        </is>
      </c>
      <c r="M6" s="4" t="inlineStr">
        <is>
          <t>25-09-2026</t>
        </is>
      </c>
      <c r="N6" s="4" t="inlineStr">
        <is>
          <t>Not Subscribed</t>
        </is>
      </c>
      <c r="O6" s="9" t="n">
        <v>0</v>
      </c>
      <c r="P6" s="9" t="n">
        <v>0</v>
      </c>
      <c r="Q6" s="9" t="n">
        <v>25</v>
      </c>
      <c r="R6" s="9" t="n">
        <v>1.19</v>
      </c>
      <c r="S6" s="9" t="n">
        <v>25</v>
      </c>
      <c r="T6" s="6" t="inlineStr">
        <is>
          <t>Umm Al Quwain</t>
        </is>
      </c>
      <c r="U6" s="6" t="inlineStr">
        <is>
          <t>Abandoned</t>
        </is>
      </c>
      <c r="V6" s="4" t="inlineStr">
        <is>
          <t>Manual Credit Card</t>
        </is>
      </c>
      <c r="W6" s="4" t="inlineStr">
        <is>
          <t>Separate Invoice</t>
        </is>
      </c>
      <c r="X6" s="4" t="inlineStr">
        <is>
          <t>No</t>
        </is>
      </c>
      <c r="Y6" s="8" t="n"/>
      <c r="Z6" s="4" t="n"/>
    </row>
    <row r="7">
      <c r="A7" s="4" t="inlineStr">
        <is>
          <t>Haven of Hope</t>
        </is>
      </c>
      <c r="B7" s="5" t="n">
        <v>46300</v>
      </c>
      <c r="C7" s="6" t="inlineStr">
        <is>
          <t>Upcoming</t>
        </is>
      </c>
      <c r="D7" s="4" t="n">
        <v>76265</v>
      </c>
      <c r="E7" s="4" t="n">
        <v>41785</v>
      </c>
      <c r="F7" s="4" t="inlineStr">
        <is>
          <t>Haven Of Hope Rescue</t>
        </is>
      </c>
      <c r="G7" s="4" t="inlineStr">
        <is>
          <t>-</t>
        </is>
      </c>
      <c r="H7" s="4" t="inlineStr">
        <is>
          <t>No</t>
        </is>
      </c>
      <c r="I7" s="5" t="n">
        <v>46280</v>
      </c>
      <c r="J7" s="7" t="n"/>
      <c r="K7" s="4" t="inlineStr">
        <is>
          <t>-</t>
        </is>
      </c>
      <c r="L7" s="8" t="inlineStr">
        <is>
          <t>Samples x 1</t>
        </is>
      </c>
      <c r="M7" s="4" t="inlineStr">
        <is>
          <t>05-10-2026</t>
        </is>
      </c>
      <c r="N7" s="4" t="inlineStr">
        <is>
          <t>Not Subscribed</t>
        </is>
      </c>
      <c r="O7" s="9" t="n">
        <v>0</v>
      </c>
      <c r="P7" s="9" t="n">
        <v>0</v>
      </c>
      <c r="Q7" s="9" t="n">
        <v>0</v>
      </c>
      <c r="R7" s="9" t="n">
        <v>0</v>
      </c>
      <c r="S7" s="9" t="n">
        <v>0</v>
      </c>
      <c r="T7" s="6" t="inlineStr">
        <is>
          <t>Dubai</t>
        </is>
      </c>
      <c r="U7" s="6" t="inlineStr">
        <is>
          <t>Successful</t>
        </is>
      </c>
      <c r="V7" s="4" t="inlineStr">
        <is>
          <t>Complimentary</t>
        </is>
      </c>
      <c r="W7" s="4" t="inlineStr">
        <is>
          <t>Separate Invoice</t>
        </is>
      </c>
      <c r="X7" s="4" t="inlineStr">
        <is>
          <t>No</t>
        </is>
      </c>
      <c r="Y7" s="8" t="inlineStr">
        <is>
          <t xml:space="preserve">Gift a Meal for Haven of Hope, already marked as successful in donation deliveries </t>
        </is>
      </c>
      <c r="Z7" s="4" t="n"/>
    </row>
    <row r="8">
      <c r="A8" s="4" t="inlineStr">
        <is>
          <t>Stray Dogs Center</t>
        </is>
      </c>
      <c r="B8" s="5" t="n">
        <v>46304</v>
      </c>
      <c r="C8" s="6" t="inlineStr">
        <is>
          <t>Upcoming</t>
        </is>
      </c>
      <c r="D8" s="4" t="n">
        <v>75007</v>
      </c>
      <c r="E8" s="4" t="n">
        <v>40246</v>
      </c>
      <c r="F8" s="4" t="inlineStr">
        <is>
          <t>Stray Dogs Center</t>
        </is>
      </c>
      <c r="G8" s="4" t="inlineStr">
        <is>
          <t>-</t>
        </is>
      </c>
      <c r="H8" s="4" t="inlineStr">
        <is>
          <t>No</t>
        </is>
      </c>
      <c r="I8" s="5" t="n">
        <v>46253</v>
      </c>
      <c r="J8" s="7" t="n"/>
      <c r="K8" s="4" t="inlineStr">
        <is>
          <t>-</t>
        </is>
      </c>
      <c r="L8" s="8" t="inlineStr">
        <is>
          <t>Samples x 1</t>
        </is>
      </c>
      <c r="M8" s="4" t="inlineStr">
        <is>
          <t>09-10-2026</t>
        </is>
      </c>
      <c r="N8" s="4" t="inlineStr">
        <is>
          <t>Not Subscribed</t>
        </is>
      </c>
      <c r="O8" s="9" t="n">
        <v>0</v>
      </c>
      <c r="P8" s="9" t="n">
        <v>0</v>
      </c>
      <c r="Q8" s="9" t="n">
        <v>25</v>
      </c>
      <c r="R8" s="9" t="n">
        <v>1.19</v>
      </c>
      <c r="S8" s="9" t="n">
        <v>25</v>
      </c>
      <c r="T8" s="6" t="inlineStr">
        <is>
          <t>Umm Al Quwain</t>
        </is>
      </c>
      <c r="U8" s="6" t="inlineStr">
        <is>
          <t>Abandoned</t>
        </is>
      </c>
      <c r="V8" s="4" t="inlineStr">
        <is>
          <t>Manual Credit Card</t>
        </is>
      </c>
      <c r="W8" s="4" t="inlineStr">
        <is>
          <t>Separate Invoice</t>
        </is>
      </c>
      <c r="X8" s="4" t="inlineStr">
        <is>
          <t>No</t>
        </is>
      </c>
      <c r="Y8" s="8" t="n"/>
      <c r="Z8" s="4" t="n"/>
    </row>
    <row r="9">
      <c r="A9" s="4" t="inlineStr">
        <is>
          <t>Stray Dogs Center</t>
        </is>
      </c>
      <c r="B9" s="5" t="n">
        <v>46318</v>
      </c>
      <c r="C9" s="6" t="inlineStr">
        <is>
          <t>Upcoming</t>
        </is>
      </c>
      <c r="D9" s="4" t="n">
        <v>75008</v>
      </c>
      <c r="E9" s="4" t="n">
        <v>40246</v>
      </c>
      <c r="F9" s="4" t="inlineStr">
        <is>
          <t>Stray Dogs Center</t>
        </is>
      </c>
      <c r="G9" s="4" t="inlineStr">
        <is>
          <t>-</t>
        </is>
      </c>
      <c r="H9" s="4" t="inlineStr">
        <is>
          <t>No</t>
        </is>
      </c>
      <c r="I9" s="5" t="n">
        <v>46253</v>
      </c>
      <c r="J9" s="7" t="n"/>
      <c r="K9" s="4" t="inlineStr">
        <is>
          <t>-</t>
        </is>
      </c>
      <c r="L9" s="8" t="inlineStr">
        <is>
          <t>Samples x 1</t>
        </is>
      </c>
      <c r="M9" s="4" t="inlineStr">
        <is>
          <t>23-10-2026</t>
        </is>
      </c>
      <c r="N9" s="4" t="inlineStr">
        <is>
          <t>Not Subscribed</t>
        </is>
      </c>
      <c r="O9" s="9" t="n">
        <v>0</v>
      </c>
      <c r="P9" s="9" t="n">
        <v>0</v>
      </c>
      <c r="Q9" s="9" t="n">
        <v>25</v>
      </c>
      <c r="R9" s="9" t="n">
        <v>1.19</v>
      </c>
      <c r="S9" s="9" t="n">
        <v>25</v>
      </c>
      <c r="T9" s="6" t="inlineStr">
        <is>
          <t>Umm Al Quwain</t>
        </is>
      </c>
      <c r="U9" s="6" t="inlineStr">
        <is>
          <t>Abandoned</t>
        </is>
      </c>
      <c r="V9" s="4" t="inlineStr">
        <is>
          <t>Manual Credit Card</t>
        </is>
      </c>
      <c r="W9" s="4" t="inlineStr">
        <is>
          <t>Separate Invoice</t>
        </is>
      </c>
      <c r="X9" s="4" t="inlineStr">
        <is>
          <t>No</t>
        </is>
      </c>
      <c r="Y9" s="8" t="n"/>
      <c r="Z9" s="4" t="n"/>
    </row>
    <row r="11">
      <c r="A11" s="10" t="inlineStr">
        <is>
          <t>Upcoming checkouts</t>
        </is>
      </c>
      <c r="B11" s="10">
        <f>COUNTA(D5:D9)</f>
        <v/>
      </c>
    </row>
  </sheetData>
  <autoFilter ref="A4:Z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1" customWidth="1" min="3" max="3"/>
    <col width="12" customWidth="1" min="4" max="4"/>
    <col width="12" customWidth="1" min="5" max="5"/>
    <col width="32" customWidth="1" min="6" max="6"/>
    <col width="17" customWidth="1" min="7" max="7"/>
    <col width="11" customWidth="1" min="8" max="8"/>
    <col width="14" customWidth="1" min="9" max="9"/>
    <col width="21" customWidth="1" min="10" max="10"/>
    <col width="18" customWidth="1" min="11" max="11"/>
    <col width="46" customWidth="1" min="12" max="12"/>
    <col width="14" customWidth="1" min="13" max="13"/>
    <col width="18" customWidth="1" min="14" max="14"/>
    <col width="11" customWidth="1" min="15" max="15"/>
    <col width="11" customWidth="1" min="16" max="16"/>
    <col width="11" customWidth="1" min="17" max="17"/>
    <col width="12" customWidth="1" min="18" max="18"/>
    <col width="15" customWidth="1" min="19" max="19"/>
    <col width="15" customWidth="1" min="20" max="20"/>
    <col width="12" customWidth="1" min="21" max="21"/>
    <col width="20" customWidth="1" min="22" max="22"/>
    <col width="17" customWidth="1" min="23" max="23"/>
    <col width="10" customWidth="1" min="24" max="24"/>
    <col width="52" customWidth="1" min="25" max="25"/>
    <col width="13" customWidth="1" min="26" max="26"/>
  </cols>
  <sheetData>
    <row r="1">
      <c r="A1" s="1" t="inlineStr">
        <is>
          <t>All Checkouts - Five Shelters (2025-2027 export)</t>
        </is>
      </c>
    </row>
    <row r="2">
      <c r="A2" s="2" t="inlineStr">
        <is>
          <t>Every checkout in the source export for the five shelters, grouped by shelter and ordered by delivery date. Rows shaded yellow are the upcoming ones repeated on the "Upcoming Checkouts" tab.</t>
        </is>
      </c>
    </row>
    <row r="4">
      <c r="A4" s="3" t="inlineStr">
        <is>
          <t>Shelter</t>
        </is>
      </c>
      <c r="B4" s="3" t="inlineStr">
        <is>
          <t>Delivery Date</t>
        </is>
      </c>
      <c r="C4" s="3" t="inlineStr">
        <is>
          <t>Timing</t>
        </is>
      </c>
      <c r="D4" s="3" t="inlineStr">
        <is>
          <t>Checkout #</t>
        </is>
      </c>
      <c r="E4" s="3" t="inlineStr">
        <is>
          <t>Customer #</t>
        </is>
      </c>
      <c r="F4" s="3" t="inlineStr">
        <is>
          <t>Customer Name</t>
        </is>
      </c>
      <c r="G4" s="3" t="inlineStr">
        <is>
          <t>Subscription Plan</t>
        </is>
      </c>
      <c r="H4" s="3" t="inlineStr">
        <is>
          <t>Wunderbar</t>
        </is>
      </c>
      <c r="I4" s="3" t="inlineStr">
        <is>
          <t>Invoice Date</t>
        </is>
      </c>
      <c r="J4" s="3" t="inlineStr">
        <is>
          <t>Payment Date Captured</t>
        </is>
      </c>
      <c r="K4" s="3" t="inlineStr">
        <is>
          <t>End of Subscription</t>
        </is>
      </c>
      <c r="L4" s="3" t="inlineStr">
        <is>
          <t>Items</t>
        </is>
      </c>
      <c r="M4" s="3" t="inlineStr">
        <is>
          <t>Delivery Dates</t>
        </is>
      </c>
      <c r="N4" s="3" t="inlineStr">
        <is>
          <t>Subscription Status</t>
        </is>
      </c>
      <c r="O4" s="3" t="inlineStr">
        <is>
          <t>Subtotal</t>
        </is>
      </c>
      <c r="P4" s="3" t="inlineStr">
        <is>
          <t>Discount</t>
        </is>
      </c>
      <c r="Q4" s="3" t="inlineStr">
        <is>
          <t>Amount</t>
        </is>
      </c>
      <c r="R4" s="3" t="inlineStr">
        <is>
          <t>VAT Amount</t>
        </is>
      </c>
      <c r="S4" s="3" t="inlineStr">
        <is>
          <t>Delivery Charge</t>
        </is>
      </c>
      <c r="T4" s="3" t="inlineStr">
        <is>
          <t>Region</t>
        </is>
      </c>
      <c r="U4" s="3" t="inlineStr">
        <is>
          <t>Status</t>
        </is>
      </c>
      <c r="V4" s="3" t="inlineStr">
        <is>
          <t>Payment Type</t>
        </is>
      </c>
      <c r="W4" s="3" t="inlineStr">
        <is>
          <t>Checkout Type</t>
        </is>
      </c>
      <c r="X4" s="3" t="inlineStr">
        <is>
          <t>Donation</t>
        </is>
      </c>
      <c r="Y4" s="3" t="inlineStr">
        <is>
          <t>Comments</t>
        </is>
      </c>
      <c r="Z4" s="3" t="inlineStr">
        <is>
          <t>Attempt Count</t>
        </is>
      </c>
    </row>
    <row r="5">
      <c r="A5" s="11" t="inlineStr">
        <is>
          <t>Stray Dogs Center</t>
        </is>
      </c>
      <c r="B5" s="12" t="n">
        <v>45976</v>
      </c>
      <c r="C5" s="13" t="inlineStr">
        <is>
          <t>Past</t>
        </is>
      </c>
      <c r="D5" s="11" t="n">
        <v>64218</v>
      </c>
      <c r="E5" s="11" t="n">
        <v>40246</v>
      </c>
      <c r="F5" s="11" t="inlineStr">
        <is>
          <t>Stray Dogs Center</t>
        </is>
      </c>
      <c r="G5" s="11" t="inlineStr">
        <is>
          <t>-</t>
        </is>
      </c>
      <c r="H5" s="11" t="inlineStr">
        <is>
          <t>No</t>
        </is>
      </c>
      <c r="I5" s="12" t="n">
        <v>45976</v>
      </c>
      <c r="J5" s="14" t="n"/>
      <c r="K5" s="11" t="inlineStr">
        <is>
          <t>-</t>
        </is>
      </c>
      <c r="L5" s="15" t="inlineStr">
        <is>
          <t>Gift a Meal AED 140 x 6</t>
        </is>
      </c>
      <c r="M5" s="11" t="inlineStr">
        <is>
          <t>15-11-2025</t>
        </is>
      </c>
      <c r="N5" s="11" t="inlineStr">
        <is>
          <t>Not Subscribed</t>
        </is>
      </c>
      <c r="O5" s="16" t="n">
        <v>0</v>
      </c>
      <c r="P5" s="16" t="n">
        <v>0</v>
      </c>
      <c r="Q5" s="16" t="n">
        <v>25</v>
      </c>
      <c r="R5" s="16" t="n">
        <v>1.19</v>
      </c>
      <c r="S5" s="16" t="n">
        <v>25</v>
      </c>
      <c r="T5" s="13" t="inlineStr">
        <is>
          <t>Umm Al Quwain</t>
        </is>
      </c>
      <c r="U5" s="13" t="inlineStr">
        <is>
          <t>Abandoned</t>
        </is>
      </c>
      <c r="V5" s="11" t="inlineStr">
        <is>
          <t>Manual Credit Card</t>
        </is>
      </c>
      <c r="W5" s="11" t="inlineStr">
        <is>
          <t>Separate Invoice</t>
        </is>
      </c>
      <c r="X5" s="11" t="inlineStr">
        <is>
          <t>No</t>
        </is>
      </c>
      <c r="Y5" s="15" t="n"/>
      <c r="Z5" s="11" t="n"/>
    </row>
    <row r="6">
      <c r="A6" s="11" t="inlineStr">
        <is>
          <t>Stray Dogs Center</t>
        </is>
      </c>
      <c r="B6" s="12" t="n">
        <v>45983</v>
      </c>
      <c r="C6" s="13" t="inlineStr">
        <is>
          <t>Past</t>
        </is>
      </c>
      <c r="D6" s="11" t="n">
        <v>64609</v>
      </c>
      <c r="E6" s="11" t="n">
        <v>40246</v>
      </c>
      <c r="F6" s="11" t="inlineStr">
        <is>
          <t>Stray Dogs Center</t>
        </is>
      </c>
      <c r="G6" s="11" t="inlineStr">
        <is>
          <t>-</t>
        </is>
      </c>
      <c r="H6" s="11" t="inlineStr">
        <is>
          <t>No</t>
        </is>
      </c>
      <c r="I6" s="12" t="n">
        <v>45982</v>
      </c>
      <c r="J6" s="14" t="n">
        <v>45982</v>
      </c>
      <c r="K6" s="11" t="inlineStr">
        <is>
          <t>-</t>
        </is>
      </c>
      <c r="L6" s="15" t="inlineStr">
        <is>
          <t>Samples x 1</t>
        </is>
      </c>
      <c r="M6" s="11" t="inlineStr">
        <is>
          <t>22-11-2025</t>
        </is>
      </c>
      <c r="N6" s="11" t="inlineStr">
        <is>
          <t>Not Subscribed</t>
        </is>
      </c>
      <c r="O6" s="16" t="n">
        <v>0</v>
      </c>
      <c r="P6" s="16" t="n">
        <v>0</v>
      </c>
      <c r="Q6" s="16" t="n">
        <v>25</v>
      </c>
      <c r="R6" s="16" t="n">
        <v>1.19</v>
      </c>
      <c r="S6" s="16" t="n">
        <v>25</v>
      </c>
      <c r="T6" s="13" t="inlineStr">
        <is>
          <t>Umm Al Quwain</t>
        </is>
      </c>
      <c r="U6" s="13" t="inlineStr">
        <is>
          <t>Successful</t>
        </is>
      </c>
      <c r="V6" s="11" t="inlineStr">
        <is>
          <t>Cash</t>
        </is>
      </c>
      <c r="W6" s="11" t="inlineStr">
        <is>
          <t>Separate Invoice</t>
        </is>
      </c>
      <c r="X6" s="11" t="inlineStr">
        <is>
          <t>No</t>
        </is>
      </c>
      <c r="Y6" s="15" t="n"/>
      <c r="Z6" s="11" t="n"/>
    </row>
    <row r="7">
      <c r="A7" s="11" t="inlineStr">
        <is>
          <t>Stray Dogs Center</t>
        </is>
      </c>
      <c r="B7" s="12" t="n">
        <v>46003</v>
      </c>
      <c r="C7" s="13" t="inlineStr">
        <is>
          <t>Past</t>
        </is>
      </c>
      <c r="D7" s="11" t="n">
        <v>65425</v>
      </c>
      <c r="E7" s="11" t="n">
        <v>40246</v>
      </c>
      <c r="F7" s="11" t="inlineStr">
        <is>
          <t>Stray Dogs Center</t>
        </is>
      </c>
      <c r="G7" s="11" t="inlineStr">
        <is>
          <t>-</t>
        </is>
      </c>
      <c r="H7" s="11" t="inlineStr">
        <is>
          <t>No</t>
        </is>
      </c>
      <c r="I7" s="12" t="n">
        <v>46002</v>
      </c>
      <c r="J7" s="14" t="n">
        <v>46002</v>
      </c>
      <c r="K7" s="11" t="inlineStr">
        <is>
          <t>-</t>
        </is>
      </c>
      <c r="L7" s="15" t="inlineStr">
        <is>
          <t>Gift a Meal AED 140 x 1</t>
        </is>
      </c>
      <c r="M7" s="11" t="inlineStr">
        <is>
          <t>12-12-2025</t>
        </is>
      </c>
      <c r="N7" s="11" t="inlineStr">
        <is>
          <t>Not Subscribed</t>
        </is>
      </c>
      <c r="O7" s="16" t="n">
        <v>0</v>
      </c>
      <c r="P7" s="16" t="n">
        <v>0</v>
      </c>
      <c r="Q7" s="16" t="n">
        <v>25</v>
      </c>
      <c r="R7" s="16" t="n">
        <v>1.19</v>
      </c>
      <c r="S7" s="16" t="n">
        <v>25</v>
      </c>
      <c r="T7" s="13" t="inlineStr">
        <is>
          <t>Umm Al Quwain</t>
        </is>
      </c>
      <c r="U7" s="13" t="inlineStr">
        <is>
          <t>Successful</t>
        </is>
      </c>
      <c r="V7" s="11" t="inlineStr">
        <is>
          <t>Cash</t>
        </is>
      </c>
      <c r="W7" s="11" t="inlineStr">
        <is>
          <t>Separate Invoice</t>
        </is>
      </c>
      <c r="X7" s="11" t="inlineStr">
        <is>
          <t>No</t>
        </is>
      </c>
      <c r="Y7" s="15" t="n"/>
      <c r="Z7" s="11" t="n"/>
    </row>
    <row r="8">
      <c r="A8" s="11" t="inlineStr">
        <is>
          <t>Stray Dogs Center</t>
        </is>
      </c>
      <c r="B8" s="12" t="n">
        <v>46010</v>
      </c>
      <c r="C8" s="13" t="inlineStr">
        <is>
          <t>Past</t>
        </is>
      </c>
      <c r="D8" s="11" t="n">
        <v>65544</v>
      </c>
      <c r="E8" s="11" t="n">
        <v>40246</v>
      </c>
      <c r="F8" s="11" t="inlineStr">
        <is>
          <t>Stray Dogs Center</t>
        </is>
      </c>
      <c r="G8" s="11" t="inlineStr">
        <is>
          <t>-</t>
        </is>
      </c>
      <c r="H8" s="11" t="inlineStr">
        <is>
          <t>No</t>
        </is>
      </c>
      <c r="I8" s="12" t="n">
        <v>46006</v>
      </c>
      <c r="J8" s="14" t="n">
        <v>46006</v>
      </c>
      <c r="K8" s="11" t="inlineStr">
        <is>
          <t>-</t>
        </is>
      </c>
      <c r="L8" s="15" t="inlineStr">
        <is>
          <t>Gift a Meal AED 140 x 1</t>
        </is>
      </c>
      <c r="M8" s="11" t="inlineStr">
        <is>
          <t>19-12-2025</t>
        </is>
      </c>
      <c r="N8" s="11" t="inlineStr">
        <is>
          <t>Not Subscribed</t>
        </is>
      </c>
      <c r="O8" s="16" t="n">
        <v>0</v>
      </c>
      <c r="P8" s="16" t="n">
        <v>0</v>
      </c>
      <c r="Q8" s="16" t="n">
        <v>25</v>
      </c>
      <c r="R8" s="16" t="n">
        <v>1.19</v>
      </c>
      <c r="S8" s="16" t="n">
        <v>25</v>
      </c>
      <c r="T8" s="13" t="inlineStr">
        <is>
          <t>Umm Al Quwain</t>
        </is>
      </c>
      <c r="U8" s="13" t="inlineStr">
        <is>
          <t>Successful</t>
        </is>
      </c>
      <c r="V8" s="11" t="inlineStr">
        <is>
          <t>Manual Credit Card</t>
        </is>
      </c>
      <c r="W8" s="11" t="inlineStr">
        <is>
          <t>Separate Invoice</t>
        </is>
      </c>
      <c r="X8" s="11" t="inlineStr">
        <is>
          <t>No</t>
        </is>
      </c>
      <c r="Y8" s="15" t="n"/>
      <c r="Z8" s="11" t="n"/>
    </row>
    <row r="9">
      <c r="A9" s="11" t="inlineStr">
        <is>
          <t>Stray Dogs Center</t>
        </is>
      </c>
      <c r="B9" s="12" t="n">
        <v>46017</v>
      </c>
      <c r="C9" s="13" t="inlineStr">
        <is>
          <t>Past</t>
        </is>
      </c>
      <c r="D9" s="11" t="n">
        <v>65545</v>
      </c>
      <c r="E9" s="11" t="n">
        <v>40246</v>
      </c>
      <c r="F9" s="11" t="inlineStr">
        <is>
          <t>Stray Dogs Center</t>
        </is>
      </c>
      <c r="G9" s="11" t="inlineStr">
        <is>
          <t>-</t>
        </is>
      </c>
      <c r="H9" s="11" t="inlineStr">
        <is>
          <t>No</t>
        </is>
      </c>
      <c r="I9" s="12" t="n">
        <v>46006</v>
      </c>
      <c r="J9" s="14" t="n">
        <v>46006</v>
      </c>
      <c r="K9" s="11" t="inlineStr">
        <is>
          <t>-</t>
        </is>
      </c>
      <c r="L9" s="15" t="inlineStr">
        <is>
          <t>Gift a Meal AED 140 x 1</t>
        </is>
      </c>
      <c r="M9" s="11" t="inlineStr">
        <is>
          <t>26-12-2025</t>
        </is>
      </c>
      <c r="N9" s="11" t="inlineStr">
        <is>
          <t>Not Subscribed</t>
        </is>
      </c>
      <c r="O9" s="16" t="n">
        <v>0</v>
      </c>
      <c r="P9" s="16" t="n">
        <v>0</v>
      </c>
      <c r="Q9" s="16" t="n">
        <v>25</v>
      </c>
      <c r="R9" s="16" t="n">
        <v>1.19</v>
      </c>
      <c r="S9" s="16" t="n">
        <v>25</v>
      </c>
      <c r="T9" s="13" t="inlineStr">
        <is>
          <t>Umm Al Quwain</t>
        </is>
      </c>
      <c r="U9" s="13" t="inlineStr">
        <is>
          <t>Successful</t>
        </is>
      </c>
      <c r="V9" s="11" t="inlineStr">
        <is>
          <t>Manual Credit Card</t>
        </is>
      </c>
      <c r="W9" s="11" t="inlineStr">
        <is>
          <t>Separate Invoice</t>
        </is>
      </c>
      <c r="X9" s="11" t="inlineStr">
        <is>
          <t>No</t>
        </is>
      </c>
      <c r="Y9" s="15" t="n"/>
      <c r="Z9" s="11" t="n"/>
    </row>
    <row r="10">
      <c r="A10" s="11" t="inlineStr">
        <is>
          <t>Stray Dogs Center</t>
        </is>
      </c>
      <c r="B10" s="12" t="n">
        <v>46024</v>
      </c>
      <c r="C10" s="13" t="inlineStr">
        <is>
          <t>Past</t>
        </is>
      </c>
      <c r="D10" s="11" t="n">
        <v>65546</v>
      </c>
      <c r="E10" s="11" t="n">
        <v>40246</v>
      </c>
      <c r="F10" s="11" t="inlineStr">
        <is>
          <t>Stray Dogs Center</t>
        </is>
      </c>
      <c r="G10" s="11" t="inlineStr">
        <is>
          <t>-</t>
        </is>
      </c>
      <c r="H10" s="11" t="inlineStr">
        <is>
          <t>No</t>
        </is>
      </c>
      <c r="I10" s="12" t="n">
        <v>46006</v>
      </c>
      <c r="J10" s="14" t="n">
        <v>46006</v>
      </c>
      <c r="K10" s="11" t="inlineStr">
        <is>
          <t>-</t>
        </is>
      </c>
      <c r="L10" s="15" t="inlineStr">
        <is>
          <t>Gift a Meal AED 140 x 1</t>
        </is>
      </c>
      <c r="M10" s="11" t="inlineStr">
        <is>
          <t>02-01-2026</t>
        </is>
      </c>
      <c r="N10" s="11" t="inlineStr">
        <is>
          <t>Not Subscribed</t>
        </is>
      </c>
      <c r="O10" s="16" t="n">
        <v>0</v>
      </c>
      <c r="P10" s="16" t="n">
        <v>0</v>
      </c>
      <c r="Q10" s="16" t="n">
        <v>25</v>
      </c>
      <c r="R10" s="16" t="n">
        <v>1.19</v>
      </c>
      <c r="S10" s="16" t="n">
        <v>25</v>
      </c>
      <c r="T10" s="13" t="inlineStr">
        <is>
          <t>Umm Al Quwain</t>
        </is>
      </c>
      <c r="U10" s="13" t="inlineStr">
        <is>
          <t>Successful</t>
        </is>
      </c>
      <c r="V10" s="11" t="inlineStr">
        <is>
          <t>Manual Credit Card</t>
        </is>
      </c>
      <c r="W10" s="11" t="inlineStr">
        <is>
          <t>Separate Invoice</t>
        </is>
      </c>
      <c r="X10" s="11" t="inlineStr">
        <is>
          <t>No</t>
        </is>
      </c>
      <c r="Y10" s="15" t="n"/>
      <c r="Z10" s="11" t="n"/>
    </row>
    <row r="11">
      <c r="A11" s="11" t="inlineStr">
        <is>
          <t>Stray Dogs Center</t>
        </is>
      </c>
      <c r="B11" s="12" t="n">
        <v>46031</v>
      </c>
      <c r="C11" s="13" t="inlineStr">
        <is>
          <t>Past</t>
        </is>
      </c>
      <c r="D11" s="11" t="n">
        <v>65547</v>
      </c>
      <c r="E11" s="11" t="n">
        <v>40246</v>
      </c>
      <c r="F11" s="11" t="inlineStr">
        <is>
          <t>Stray Dogs Center</t>
        </is>
      </c>
      <c r="G11" s="11" t="inlineStr">
        <is>
          <t>-</t>
        </is>
      </c>
      <c r="H11" s="11" t="inlineStr">
        <is>
          <t>No</t>
        </is>
      </c>
      <c r="I11" s="12" t="n">
        <v>46006</v>
      </c>
      <c r="J11" s="14" t="n">
        <v>46006</v>
      </c>
      <c r="K11" s="11" t="inlineStr">
        <is>
          <t>-</t>
        </is>
      </c>
      <c r="L11" s="15" t="inlineStr">
        <is>
          <t>Gift a Meal AED 140 x 1</t>
        </is>
      </c>
      <c r="M11" s="11" t="inlineStr">
        <is>
          <t>09-01-2026</t>
        </is>
      </c>
      <c r="N11" s="11" t="inlineStr">
        <is>
          <t>Not Subscribed</t>
        </is>
      </c>
      <c r="O11" s="16" t="n">
        <v>0</v>
      </c>
      <c r="P11" s="16" t="n">
        <v>0</v>
      </c>
      <c r="Q11" s="16" t="n">
        <v>25</v>
      </c>
      <c r="R11" s="16" t="n">
        <v>1.19</v>
      </c>
      <c r="S11" s="16" t="n">
        <v>25</v>
      </c>
      <c r="T11" s="13" t="inlineStr">
        <is>
          <t>Umm Al Quwain</t>
        </is>
      </c>
      <c r="U11" s="13" t="inlineStr">
        <is>
          <t>Successful</t>
        </is>
      </c>
      <c r="V11" s="11" t="inlineStr">
        <is>
          <t>Manual Credit Card</t>
        </is>
      </c>
      <c r="W11" s="11" t="inlineStr">
        <is>
          <t>Separate Invoice</t>
        </is>
      </c>
      <c r="X11" s="11" t="inlineStr">
        <is>
          <t>No</t>
        </is>
      </c>
      <c r="Y11" s="15" t="n"/>
      <c r="Z11" s="11" t="n"/>
    </row>
    <row r="12">
      <c r="A12" s="11" t="inlineStr">
        <is>
          <t>Stray Dogs Center</t>
        </is>
      </c>
      <c r="B12" s="12" t="n">
        <v>46038</v>
      </c>
      <c r="C12" s="13" t="inlineStr">
        <is>
          <t>Past</t>
        </is>
      </c>
      <c r="D12" s="11" t="n">
        <v>66617</v>
      </c>
      <c r="E12" s="11" t="n">
        <v>40246</v>
      </c>
      <c r="F12" s="11" t="inlineStr">
        <is>
          <t>Stray Dogs Center</t>
        </is>
      </c>
      <c r="G12" s="11" t="inlineStr">
        <is>
          <t>-</t>
        </is>
      </c>
      <c r="H12" s="11" t="inlineStr">
        <is>
          <t>No</t>
        </is>
      </c>
      <c r="I12" s="12" t="n">
        <v>46037</v>
      </c>
      <c r="J12" s="14" t="n">
        <v>46037</v>
      </c>
      <c r="K12" s="11" t="inlineStr">
        <is>
          <t>-</t>
        </is>
      </c>
      <c r="L12" s="15" t="inlineStr">
        <is>
          <t>Samples x 1</t>
        </is>
      </c>
      <c r="M12" s="11" t="inlineStr">
        <is>
          <t>16-01-2026</t>
        </is>
      </c>
      <c r="N12" s="11" t="inlineStr">
        <is>
          <t>Not Subscribed</t>
        </is>
      </c>
      <c r="O12" s="16" t="n">
        <v>0</v>
      </c>
      <c r="P12" s="16" t="n">
        <v>0</v>
      </c>
      <c r="Q12" s="16" t="n">
        <v>25</v>
      </c>
      <c r="R12" s="16" t="n">
        <v>1.19</v>
      </c>
      <c r="S12" s="16" t="n">
        <v>25</v>
      </c>
      <c r="T12" s="13" t="inlineStr">
        <is>
          <t>Umm Al Quwain</t>
        </is>
      </c>
      <c r="U12" s="13" t="inlineStr">
        <is>
          <t>Successful</t>
        </is>
      </c>
      <c r="V12" s="11" t="inlineStr">
        <is>
          <t>Manual Credit Card</t>
        </is>
      </c>
      <c r="W12" s="11" t="inlineStr">
        <is>
          <t>Separate Invoice</t>
        </is>
      </c>
      <c r="X12" s="11" t="inlineStr">
        <is>
          <t>No</t>
        </is>
      </c>
      <c r="Y12" s="15" t="n"/>
      <c r="Z12" s="11" t="n"/>
    </row>
    <row r="13">
      <c r="A13" s="11" t="inlineStr">
        <is>
          <t>Stray Dogs Center</t>
        </is>
      </c>
      <c r="B13" s="12" t="n">
        <v>46045</v>
      </c>
      <c r="C13" s="13" t="inlineStr">
        <is>
          <t>Past</t>
        </is>
      </c>
      <c r="D13" s="11" t="n">
        <v>66844</v>
      </c>
      <c r="E13" s="11" t="n">
        <v>40246</v>
      </c>
      <c r="F13" s="11" t="inlineStr">
        <is>
          <t>Stray Dogs Center</t>
        </is>
      </c>
      <c r="G13" s="11" t="inlineStr">
        <is>
          <t>-</t>
        </is>
      </c>
      <c r="H13" s="11" t="inlineStr">
        <is>
          <t>No</t>
        </is>
      </c>
      <c r="I13" s="12" t="n">
        <v>46043</v>
      </c>
      <c r="J13" s="14" t="n">
        <v>46043.71933881944</v>
      </c>
      <c r="K13" s="11" t="inlineStr">
        <is>
          <t>-</t>
        </is>
      </c>
      <c r="L13" s="15" t="inlineStr">
        <is>
          <t>Samples x 1</t>
        </is>
      </c>
      <c r="M13" s="11" t="inlineStr">
        <is>
          <t>23-01-2026</t>
        </is>
      </c>
      <c r="N13" s="11" t="inlineStr">
        <is>
          <t>Not Subscribed</t>
        </is>
      </c>
      <c r="O13" s="16" t="n">
        <v>0</v>
      </c>
      <c r="P13" s="16" t="n">
        <v>0</v>
      </c>
      <c r="Q13" s="16" t="n">
        <v>25</v>
      </c>
      <c r="R13" s="16" t="n">
        <v>1.19</v>
      </c>
      <c r="S13" s="16" t="n">
        <v>25</v>
      </c>
      <c r="T13" s="13" t="inlineStr">
        <is>
          <t>Umm Al Quwain</t>
        </is>
      </c>
      <c r="U13" s="13" t="inlineStr">
        <is>
          <t>Successful</t>
        </is>
      </c>
      <c r="V13" s="11" t="inlineStr">
        <is>
          <t>Manual Credit Card</t>
        </is>
      </c>
      <c r="W13" s="11" t="inlineStr">
        <is>
          <t>Separate Invoice</t>
        </is>
      </c>
      <c r="X13" s="11" t="inlineStr">
        <is>
          <t>No</t>
        </is>
      </c>
      <c r="Y13" s="15" t="n"/>
      <c r="Z13" s="11" t="n">
        <v>1</v>
      </c>
    </row>
    <row r="14">
      <c r="A14" s="11" t="inlineStr">
        <is>
          <t>Stray Dogs Center</t>
        </is>
      </c>
      <c r="B14" s="12" t="n">
        <v>46052</v>
      </c>
      <c r="C14" s="13" t="inlineStr">
        <is>
          <t>Past</t>
        </is>
      </c>
      <c r="D14" s="11" t="n">
        <v>67142</v>
      </c>
      <c r="E14" s="11" t="n">
        <v>40246</v>
      </c>
      <c r="F14" s="11" t="inlineStr">
        <is>
          <t>Stray Dogs Center</t>
        </is>
      </c>
      <c r="G14" s="11" t="inlineStr">
        <is>
          <t>-</t>
        </is>
      </c>
      <c r="H14" s="11" t="inlineStr">
        <is>
          <t>No</t>
        </is>
      </c>
      <c r="I14" s="12" t="n">
        <v>46050</v>
      </c>
      <c r="J14" s="14" t="n">
        <v>46050.55649436342</v>
      </c>
      <c r="K14" s="11" t="inlineStr">
        <is>
          <t>-</t>
        </is>
      </c>
      <c r="L14" s="15" t="inlineStr">
        <is>
          <t>Samples x 1</t>
        </is>
      </c>
      <c r="M14" s="11" t="inlineStr">
        <is>
          <t>30-01-2026</t>
        </is>
      </c>
      <c r="N14" s="11" t="inlineStr">
        <is>
          <t>Not Subscribed</t>
        </is>
      </c>
      <c r="O14" s="16" t="n">
        <v>0</v>
      </c>
      <c r="P14" s="16" t="n">
        <v>0</v>
      </c>
      <c r="Q14" s="16" t="n">
        <v>25</v>
      </c>
      <c r="R14" s="16" t="n">
        <v>1.19</v>
      </c>
      <c r="S14" s="16" t="n">
        <v>25</v>
      </c>
      <c r="T14" s="13" t="inlineStr">
        <is>
          <t>Umm Al Quwain</t>
        </is>
      </c>
      <c r="U14" s="13" t="inlineStr">
        <is>
          <t>Successful</t>
        </is>
      </c>
      <c r="V14" s="11" t="inlineStr">
        <is>
          <t>Manual Credit Card</t>
        </is>
      </c>
      <c r="W14" s="11" t="inlineStr">
        <is>
          <t>Separate Invoice</t>
        </is>
      </c>
      <c r="X14" s="11" t="inlineStr">
        <is>
          <t>No</t>
        </is>
      </c>
      <c r="Y14" s="15" t="n"/>
      <c r="Z14" s="11" t="n">
        <v>1</v>
      </c>
    </row>
    <row r="15">
      <c r="A15" s="11" t="inlineStr">
        <is>
          <t>Stray Dogs Center</t>
        </is>
      </c>
      <c r="B15" s="12" t="n">
        <v>46059</v>
      </c>
      <c r="C15" s="13" t="inlineStr">
        <is>
          <t>Past</t>
        </is>
      </c>
      <c r="D15" s="11" t="n">
        <v>67398</v>
      </c>
      <c r="E15" s="11" t="n">
        <v>40246</v>
      </c>
      <c r="F15" s="11" t="inlineStr">
        <is>
          <t>Stray Dogs Center</t>
        </is>
      </c>
      <c r="G15" s="11" t="inlineStr">
        <is>
          <t>-</t>
        </is>
      </c>
      <c r="H15" s="11" t="inlineStr">
        <is>
          <t>No</t>
        </is>
      </c>
      <c r="I15" s="12" t="n">
        <v>46057</v>
      </c>
      <c r="J15" s="14" t="n">
        <v>46057.37288289352</v>
      </c>
      <c r="K15" s="11" t="inlineStr">
        <is>
          <t>-</t>
        </is>
      </c>
      <c r="L15" s="15" t="inlineStr">
        <is>
          <t>Samples x 1</t>
        </is>
      </c>
      <c r="M15" s="11" t="inlineStr">
        <is>
          <t>06-02-2026</t>
        </is>
      </c>
      <c r="N15" s="11" t="inlineStr">
        <is>
          <t>Not Subscribed</t>
        </is>
      </c>
      <c r="O15" s="16" t="n">
        <v>0</v>
      </c>
      <c r="P15" s="16" t="n">
        <v>0</v>
      </c>
      <c r="Q15" s="16" t="n">
        <v>25</v>
      </c>
      <c r="R15" s="16" t="n">
        <v>1.19</v>
      </c>
      <c r="S15" s="16" t="n">
        <v>25</v>
      </c>
      <c r="T15" s="13" t="inlineStr">
        <is>
          <t>Umm Al Quwain</t>
        </is>
      </c>
      <c r="U15" s="13" t="inlineStr">
        <is>
          <t>Successful</t>
        </is>
      </c>
      <c r="V15" s="11" t="inlineStr">
        <is>
          <t>Manual Credit Card</t>
        </is>
      </c>
      <c r="W15" s="11" t="inlineStr">
        <is>
          <t>Separate Invoice</t>
        </is>
      </c>
      <c r="X15" s="11" t="inlineStr">
        <is>
          <t>No</t>
        </is>
      </c>
      <c r="Y15" s="15" t="n"/>
      <c r="Z15" s="11" t="n">
        <v>1</v>
      </c>
    </row>
    <row r="16">
      <c r="A16" s="11" t="inlineStr">
        <is>
          <t>Stray Dogs Center</t>
        </is>
      </c>
      <c r="B16" s="12" t="n">
        <v>46066</v>
      </c>
      <c r="C16" s="13" t="inlineStr">
        <is>
          <t>Past</t>
        </is>
      </c>
      <c r="D16" s="11" t="n">
        <v>67399</v>
      </c>
      <c r="E16" s="11" t="n">
        <v>40246</v>
      </c>
      <c r="F16" s="11" t="inlineStr">
        <is>
          <t>Stray Dogs Center</t>
        </is>
      </c>
      <c r="G16" s="11" t="inlineStr">
        <is>
          <t>-</t>
        </is>
      </c>
      <c r="H16" s="11" t="inlineStr">
        <is>
          <t>No</t>
        </is>
      </c>
      <c r="I16" s="12" t="n">
        <v>46057</v>
      </c>
      <c r="J16" s="14" t="n">
        <v>46057.37375309028</v>
      </c>
      <c r="K16" s="11" t="inlineStr">
        <is>
          <t>-</t>
        </is>
      </c>
      <c r="L16" s="15" t="inlineStr">
        <is>
          <t>Samples x 1</t>
        </is>
      </c>
      <c r="M16" s="11" t="inlineStr">
        <is>
          <t>13-02-2026</t>
        </is>
      </c>
      <c r="N16" s="11" t="inlineStr">
        <is>
          <t>Not Subscribed</t>
        </is>
      </c>
      <c r="O16" s="16" t="n">
        <v>0</v>
      </c>
      <c r="P16" s="16" t="n">
        <v>0</v>
      </c>
      <c r="Q16" s="16" t="n">
        <v>25</v>
      </c>
      <c r="R16" s="16" t="n">
        <v>1.19</v>
      </c>
      <c r="S16" s="16" t="n">
        <v>25</v>
      </c>
      <c r="T16" s="13" t="inlineStr">
        <is>
          <t>Umm Al Quwain</t>
        </is>
      </c>
      <c r="U16" s="13" t="inlineStr">
        <is>
          <t>Successful</t>
        </is>
      </c>
      <c r="V16" s="11" t="inlineStr">
        <is>
          <t>Manual Credit Card</t>
        </is>
      </c>
      <c r="W16" s="11" t="inlineStr">
        <is>
          <t>Separate Invoice</t>
        </is>
      </c>
      <c r="X16" s="11" t="inlineStr">
        <is>
          <t>No</t>
        </is>
      </c>
      <c r="Y16" s="15" t="n"/>
      <c r="Z16" s="11" t="n">
        <v>1</v>
      </c>
    </row>
    <row r="17">
      <c r="A17" s="11" t="inlineStr">
        <is>
          <t>Stray Dogs Center</t>
        </is>
      </c>
      <c r="B17" s="12" t="n">
        <v>46073</v>
      </c>
      <c r="C17" s="13" t="inlineStr">
        <is>
          <t>Past</t>
        </is>
      </c>
      <c r="D17" s="11" t="n">
        <v>67919</v>
      </c>
      <c r="E17" s="11" t="n">
        <v>40246</v>
      </c>
      <c r="F17" s="11" t="inlineStr">
        <is>
          <t>Stray Dogs Center</t>
        </is>
      </c>
      <c r="G17" s="11" t="inlineStr">
        <is>
          <t>-</t>
        </is>
      </c>
      <c r="H17" s="11" t="inlineStr">
        <is>
          <t>No</t>
        </is>
      </c>
      <c r="I17" s="12" t="n">
        <v>46071</v>
      </c>
      <c r="J17" s="14" t="n">
        <v>46071</v>
      </c>
      <c r="K17" s="11" t="inlineStr">
        <is>
          <t>-</t>
        </is>
      </c>
      <c r="L17" s="15" t="inlineStr">
        <is>
          <t>Samples x 1</t>
        </is>
      </c>
      <c r="M17" s="11" t="inlineStr">
        <is>
          <t>20-02-2026</t>
        </is>
      </c>
      <c r="N17" s="11" t="inlineStr">
        <is>
          <t>Not Subscribed</t>
        </is>
      </c>
      <c r="O17" s="16" t="n">
        <v>0</v>
      </c>
      <c r="P17" s="16" t="n">
        <v>0</v>
      </c>
      <c r="Q17" s="16" t="n">
        <v>25</v>
      </c>
      <c r="R17" s="16" t="n">
        <v>1.19</v>
      </c>
      <c r="S17" s="16" t="n">
        <v>25</v>
      </c>
      <c r="T17" s="13" t="inlineStr">
        <is>
          <t>Umm Al Quwain</t>
        </is>
      </c>
      <c r="U17" s="13" t="inlineStr">
        <is>
          <t>Successful</t>
        </is>
      </c>
      <c r="V17" s="11" t="inlineStr">
        <is>
          <t>Manual Credit Card</t>
        </is>
      </c>
      <c r="W17" s="11" t="inlineStr">
        <is>
          <t>Separate Invoice</t>
        </is>
      </c>
      <c r="X17" s="11" t="inlineStr">
        <is>
          <t>No</t>
        </is>
      </c>
      <c r="Y17" s="15" t="n"/>
      <c r="Z17" s="11" t="n"/>
    </row>
    <row r="18">
      <c r="A18" s="11" t="inlineStr">
        <is>
          <t>Stray Dogs Center</t>
        </is>
      </c>
      <c r="B18" s="12" t="n">
        <v>46080</v>
      </c>
      <c r="C18" s="13" t="inlineStr">
        <is>
          <t>Past</t>
        </is>
      </c>
      <c r="D18" s="11" t="n">
        <v>67920</v>
      </c>
      <c r="E18" s="11" t="n">
        <v>40246</v>
      </c>
      <c r="F18" s="11" t="inlineStr">
        <is>
          <t>Stray Dogs Center</t>
        </is>
      </c>
      <c r="G18" s="11" t="inlineStr">
        <is>
          <t>-</t>
        </is>
      </c>
      <c r="H18" s="11" t="inlineStr">
        <is>
          <t>No</t>
        </is>
      </c>
      <c r="I18" s="12" t="n">
        <v>46071</v>
      </c>
      <c r="J18" s="14" t="n">
        <v>46071.44368010417</v>
      </c>
      <c r="K18" s="11" t="inlineStr">
        <is>
          <t>-</t>
        </is>
      </c>
      <c r="L18" s="15" t="inlineStr">
        <is>
          <t>Samples x 1</t>
        </is>
      </c>
      <c r="M18" s="11" t="inlineStr">
        <is>
          <t>27-02-2026</t>
        </is>
      </c>
      <c r="N18" s="11" t="inlineStr">
        <is>
          <t>Not Subscribed</t>
        </is>
      </c>
      <c r="O18" s="16" t="n">
        <v>0</v>
      </c>
      <c r="P18" s="16" t="n">
        <v>0</v>
      </c>
      <c r="Q18" s="16" t="n">
        <v>25</v>
      </c>
      <c r="R18" s="16" t="n">
        <v>1.19</v>
      </c>
      <c r="S18" s="16" t="n">
        <v>25</v>
      </c>
      <c r="T18" s="13" t="inlineStr">
        <is>
          <t>Umm Al Quwain</t>
        </is>
      </c>
      <c r="U18" s="13" t="inlineStr">
        <is>
          <t>Successful</t>
        </is>
      </c>
      <c r="V18" s="11" t="inlineStr">
        <is>
          <t>Manual Credit Card</t>
        </is>
      </c>
      <c r="W18" s="11" t="inlineStr">
        <is>
          <t>Separate Invoice</t>
        </is>
      </c>
      <c r="X18" s="11" t="inlineStr">
        <is>
          <t>No</t>
        </is>
      </c>
      <c r="Y18" s="15" t="n"/>
      <c r="Z18" s="11" t="n">
        <v>1</v>
      </c>
    </row>
    <row r="19">
      <c r="A19" s="11" t="inlineStr">
        <is>
          <t>Stray Dogs Center</t>
        </is>
      </c>
      <c r="B19" s="12" t="n">
        <v>46094</v>
      </c>
      <c r="C19" s="13" t="inlineStr">
        <is>
          <t>Past</t>
        </is>
      </c>
      <c r="D19" s="11" t="n">
        <v>67922</v>
      </c>
      <c r="E19" s="11" t="n">
        <v>40246</v>
      </c>
      <c r="F19" s="11" t="inlineStr">
        <is>
          <t>Stray Dogs Center</t>
        </is>
      </c>
      <c r="G19" s="11" t="inlineStr">
        <is>
          <t>-</t>
        </is>
      </c>
      <c r="H19" s="11" t="inlineStr">
        <is>
          <t>No</t>
        </is>
      </c>
      <c r="I19" s="12" t="n">
        <v>46071</v>
      </c>
      <c r="J19" s="14" t="n">
        <v>46071.44266717593</v>
      </c>
      <c r="K19" s="11" t="inlineStr">
        <is>
          <t>-</t>
        </is>
      </c>
      <c r="L19" s="15" t="inlineStr">
        <is>
          <t>Samples x 1</t>
        </is>
      </c>
      <c r="M19" s="11" t="inlineStr">
        <is>
          <t>13-03-2026</t>
        </is>
      </c>
      <c r="N19" s="11" t="inlineStr">
        <is>
          <t>Not Subscribed</t>
        </is>
      </c>
      <c r="O19" s="16" t="n">
        <v>0</v>
      </c>
      <c r="P19" s="16" t="n">
        <v>0</v>
      </c>
      <c r="Q19" s="16" t="n">
        <v>25</v>
      </c>
      <c r="R19" s="16" t="n">
        <v>1.19</v>
      </c>
      <c r="S19" s="16" t="n">
        <v>25</v>
      </c>
      <c r="T19" s="13" t="inlineStr">
        <is>
          <t>Umm Al Quwain</t>
        </is>
      </c>
      <c r="U19" s="13" t="inlineStr">
        <is>
          <t>Successful</t>
        </is>
      </c>
      <c r="V19" s="11" t="inlineStr">
        <is>
          <t>Manual Credit Card</t>
        </is>
      </c>
      <c r="W19" s="11" t="inlineStr">
        <is>
          <t>Separate Invoice</t>
        </is>
      </c>
      <c r="X19" s="11" t="inlineStr">
        <is>
          <t>No</t>
        </is>
      </c>
      <c r="Y19" s="15" t="n"/>
      <c r="Z19" s="11" t="n">
        <v>1</v>
      </c>
    </row>
    <row r="20">
      <c r="A20" s="11" t="inlineStr">
        <is>
          <t>Stray Dogs Center</t>
        </is>
      </c>
      <c r="B20" s="12" t="n">
        <v>46101</v>
      </c>
      <c r="C20" s="13" t="inlineStr">
        <is>
          <t>Past</t>
        </is>
      </c>
      <c r="D20" s="11" t="n">
        <v>67921</v>
      </c>
      <c r="E20" s="11" t="n">
        <v>40246</v>
      </c>
      <c r="F20" s="11" t="inlineStr">
        <is>
          <t>Stray Dogs Center</t>
        </is>
      </c>
      <c r="G20" s="11" t="inlineStr">
        <is>
          <t>-</t>
        </is>
      </c>
      <c r="H20" s="11" t="inlineStr">
        <is>
          <t>No</t>
        </is>
      </c>
      <c r="I20" s="12" t="n">
        <v>46071</v>
      </c>
      <c r="J20" s="14" t="n">
        <v>46071</v>
      </c>
      <c r="K20" s="11" t="inlineStr">
        <is>
          <t>-</t>
        </is>
      </c>
      <c r="L20" s="15" t="inlineStr">
        <is>
          <t>Samples x 1</t>
        </is>
      </c>
      <c r="M20" s="11" t="inlineStr">
        <is>
          <t>20-03-2026</t>
        </is>
      </c>
      <c r="N20" s="11" t="inlineStr">
        <is>
          <t>Not Subscribed</t>
        </is>
      </c>
      <c r="O20" s="16" t="n">
        <v>0</v>
      </c>
      <c r="P20" s="16" t="n">
        <v>0</v>
      </c>
      <c r="Q20" s="16" t="n">
        <v>25</v>
      </c>
      <c r="R20" s="16" t="n">
        <v>1.19</v>
      </c>
      <c r="S20" s="16" t="n">
        <v>25</v>
      </c>
      <c r="T20" s="13" t="inlineStr">
        <is>
          <t>Umm Al Quwain</t>
        </is>
      </c>
      <c r="U20" s="13" t="inlineStr">
        <is>
          <t>Successful</t>
        </is>
      </c>
      <c r="V20" s="11" t="inlineStr">
        <is>
          <t>Manual Credit Card</t>
        </is>
      </c>
      <c r="W20" s="11" t="inlineStr">
        <is>
          <t>Separate Invoice</t>
        </is>
      </c>
      <c r="X20" s="11" t="inlineStr">
        <is>
          <t>No</t>
        </is>
      </c>
      <c r="Y20" s="15" t="n"/>
      <c r="Z20" s="11" t="n"/>
    </row>
    <row r="21">
      <c r="A21" s="11" t="inlineStr">
        <is>
          <t>Stray Dogs Center</t>
        </is>
      </c>
      <c r="B21" s="12" t="n">
        <v>46115</v>
      </c>
      <c r="C21" s="13" t="inlineStr">
        <is>
          <t>Past</t>
        </is>
      </c>
      <c r="D21" s="11" t="n">
        <v>69383</v>
      </c>
      <c r="E21" s="11" t="n">
        <v>40246</v>
      </c>
      <c r="F21" s="11" t="inlineStr">
        <is>
          <t>Stray Dogs Center</t>
        </is>
      </c>
      <c r="G21" s="11" t="inlineStr">
        <is>
          <t>-</t>
        </is>
      </c>
      <c r="H21" s="11" t="inlineStr">
        <is>
          <t>No</t>
        </is>
      </c>
      <c r="I21" s="12" t="n">
        <v>46114</v>
      </c>
      <c r="J21" s="14" t="n">
        <v>46114.35178752315</v>
      </c>
      <c r="K21" s="11" t="inlineStr">
        <is>
          <t>-</t>
        </is>
      </c>
      <c r="L21" s="15" t="inlineStr">
        <is>
          <t>Samples x 1</t>
        </is>
      </c>
      <c r="M21" s="11" t="inlineStr">
        <is>
          <t>03-04-2026</t>
        </is>
      </c>
      <c r="N21" s="11" t="inlineStr">
        <is>
          <t>Not Subscribed</t>
        </is>
      </c>
      <c r="O21" s="16" t="n">
        <v>0</v>
      </c>
      <c r="P21" s="16" t="n">
        <v>0</v>
      </c>
      <c r="Q21" s="16" t="n">
        <v>25</v>
      </c>
      <c r="R21" s="16" t="n">
        <v>1.19</v>
      </c>
      <c r="S21" s="16" t="n">
        <v>25</v>
      </c>
      <c r="T21" s="13" t="inlineStr">
        <is>
          <t>Umm Al Quwain</t>
        </is>
      </c>
      <c r="U21" s="13" t="inlineStr">
        <is>
          <t>Successful</t>
        </is>
      </c>
      <c r="V21" s="11" t="inlineStr">
        <is>
          <t>Manual Credit Card</t>
        </is>
      </c>
      <c r="W21" s="11" t="inlineStr">
        <is>
          <t>Separate Invoice</t>
        </is>
      </c>
      <c r="X21" s="11" t="inlineStr">
        <is>
          <t>No</t>
        </is>
      </c>
      <c r="Y21" s="15" t="n"/>
      <c r="Z21" s="11" t="n">
        <v>1</v>
      </c>
    </row>
    <row r="22">
      <c r="A22" s="11" t="inlineStr">
        <is>
          <t>Stray Dogs Center</t>
        </is>
      </c>
      <c r="B22" s="12" t="n">
        <v>46136</v>
      </c>
      <c r="C22" s="13" t="inlineStr">
        <is>
          <t>Past</t>
        </is>
      </c>
      <c r="D22" s="11" t="n">
        <v>69718</v>
      </c>
      <c r="E22" s="11" t="n">
        <v>40246</v>
      </c>
      <c r="F22" s="11" t="inlineStr">
        <is>
          <t>Stray Dogs Center</t>
        </is>
      </c>
      <c r="G22" s="11" t="inlineStr">
        <is>
          <t>-</t>
        </is>
      </c>
      <c r="H22" s="11" t="inlineStr">
        <is>
          <t>No</t>
        </is>
      </c>
      <c r="I22" s="12" t="n">
        <v>46125</v>
      </c>
      <c r="J22" s="14" t="n"/>
      <c r="K22" s="11" t="inlineStr">
        <is>
          <t>-</t>
        </is>
      </c>
      <c r="L22" s="15" t="inlineStr">
        <is>
          <t>Samples x 1</t>
        </is>
      </c>
      <c r="M22" s="11" t="inlineStr">
        <is>
          <t>24-04-2026</t>
        </is>
      </c>
      <c r="N22" s="11" t="inlineStr">
        <is>
          <t>Not Subscribed</t>
        </is>
      </c>
      <c r="O22" s="16" t="n">
        <v>0</v>
      </c>
      <c r="P22" s="16" t="n">
        <v>0</v>
      </c>
      <c r="Q22" s="16" t="n">
        <v>25</v>
      </c>
      <c r="R22" s="16" t="n">
        <v>1.19</v>
      </c>
      <c r="S22" s="16" t="n">
        <v>25</v>
      </c>
      <c r="T22" s="13" t="inlineStr">
        <is>
          <t>Umm Al Quwain</t>
        </is>
      </c>
      <c r="U22" s="13" t="inlineStr">
        <is>
          <t>Abandoned</t>
        </is>
      </c>
      <c r="V22" s="11" t="inlineStr">
        <is>
          <t>Manual Credit Card</t>
        </is>
      </c>
      <c r="W22" s="11" t="inlineStr">
        <is>
          <t>Separate Invoice</t>
        </is>
      </c>
      <c r="X22" s="11" t="inlineStr">
        <is>
          <t>No</t>
        </is>
      </c>
      <c r="Y22" s="15" t="n"/>
      <c r="Z22" s="11" t="n"/>
    </row>
    <row r="23">
      <c r="A23" s="11" t="inlineStr">
        <is>
          <t>Stray Dogs Center</t>
        </is>
      </c>
      <c r="B23" s="12" t="n">
        <v>46150</v>
      </c>
      <c r="C23" s="13" t="inlineStr">
        <is>
          <t>Past</t>
        </is>
      </c>
      <c r="D23" s="11" t="n">
        <v>70691</v>
      </c>
      <c r="E23" s="11" t="n">
        <v>40246</v>
      </c>
      <c r="F23" s="11" t="inlineStr">
        <is>
          <t>Stray Dogs Center</t>
        </is>
      </c>
      <c r="G23" s="11" t="inlineStr">
        <is>
          <t>-</t>
        </is>
      </c>
      <c r="H23" s="11" t="inlineStr">
        <is>
          <t>No</t>
        </is>
      </c>
      <c r="I23" s="12" t="n">
        <v>46149</v>
      </c>
      <c r="J23" s="14" t="n">
        <v>46149</v>
      </c>
      <c r="K23" s="11" t="inlineStr">
        <is>
          <t>-</t>
        </is>
      </c>
      <c r="L23" s="15" t="inlineStr">
        <is>
          <t>Samples x 1</t>
        </is>
      </c>
      <c r="M23" s="11" t="inlineStr">
        <is>
          <t>08-05-2026</t>
        </is>
      </c>
      <c r="N23" s="11" t="inlineStr">
        <is>
          <t>Not Subscribed</t>
        </is>
      </c>
      <c r="O23" s="16" t="n">
        <v>0</v>
      </c>
      <c r="P23" s="16" t="n">
        <v>0</v>
      </c>
      <c r="Q23" s="16" t="n">
        <v>25</v>
      </c>
      <c r="R23" s="16" t="n">
        <v>1.19</v>
      </c>
      <c r="S23" s="16" t="n">
        <v>25</v>
      </c>
      <c r="T23" s="13" t="inlineStr">
        <is>
          <t>Umm Al Quwain</t>
        </is>
      </c>
      <c r="U23" s="13" t="inlineStr">
        <is>
          <t>Successful</t>
        </is>
      </c>
      <c r="V23" s="11" t="inlineStr">
        <is>
          <t>Manual Credit Card</t>
        </is>
      </c>
      <c r="W23" s="11" t="inlineStr">
        <is>
          <t>Separate Invoice</t>
        </is>
      </c>
      <c r="X23" s="11" t="inlineStr">
        <is>
          <t>No</t>
        </is>
      </c>
      <c r="Y23" s="15" t="inlineStr">
        <is>
          <t xml:space="preserve">60kg Gift a Meal scheduled for delivery </t>
        </is>
      </c>
      <c r="Z23" s="11" t="n"/>
    </row>
    <row r="24">
      <c r="A24" s="11" t="inlineStr">
        <is>
          <t>Stray Dogs Center</t>
        </is>
      </c>
      <c r="B24" s="12" t="n">
        <v>46164</v>
      </c>
      <c r="C24" s="13" t="inlineStr">
        <is>
          <t>Past</t>
        </is>
      </c>
      <c r="D24" s="11" t="n">
        <v>71172</v>
      </c>
      <c r="E24" s="11" t="n">
        <v>40246</v>
      </c>
      <c r="F24" s="11" t="inlineStr">
        <is>
          <t>Stray Dogs Center</t>
        </is>
      </c>
      <c r="G24" s="11" t="inlineStr">
        <is>
          <t>-</t>
        </is>
      </c>
      <c r="H24" s="11" t="inlineStr">
        <is>
          <t>No</t>
        </is>
      </c>
      <c r="I24" s="12" t="n">
        <v>46162</v>
      </c>
      <c r="J24" s="14" t="n"/>
      <c r="K24" s="11" t="inlineStr">
        <is>
          <t>-</t>
        </is>
      </c>
      <c r="L24" s="15" t="inlineStr">
        <is>
          <t>Samples x 1</t>
        </is>
      </c>
      <c r="M24" s="11" t="inlineStr">
        <is>
          <t>22-05-2026</t>
        </is>
      </c>
      <c r="N24" s="11" t="inlineStr">
        <is>
          <t>Not Subscribed</t>
        </is>
      </c>
      <c r="O24" s="16" t="n">
        <v>0</v>
      </c>
      <c r="P24" s="16" t="n">
        <v>0</v>
      </c>
      <c r="Q24" s="16" t="n">
        <v>25</v>
      </c>
      <c r="R24" s="16" t="n">
        <v>1.19</v>
      </c>
      <c r="S24" s="16" t="n">
        <v>25</v>
      </c>
      <c r="T24" s="13" t="inlineStr">
        <is>
          <t>Umm Al Quwain</t>
        </is>
      </c>
      <c r="U24" s="13" t="inlineStr">
        <is>
          <t>Processing</t>
        </is>
      </c>
      <c r="V24" s="11" t="inlineStr">
        <is>
          <t>Manual Credit Card</t>
        </is>
      </c>
      <c r="W24" s="11" t="inlineStr">
        <is>
          <t>Separate Invoice</t>
        </is>
      </c>
      <c r="X24" s="11" t="inlineStr">
        <is>
          <t>No</t>
        </is>
      </c>
      <c r="Y24" s="15" t="n"/>
      <c r="Z24" s="11" t="n">
        <v>1</v>
      </c>
    </row>
    <row r="25">
      <c r="A25" s="11" t="inlineStr">
        <is>
          <t>Stray Dogs Center</t>
        </is>
      </c>
      <c r="B25" s="12" t="n">
        <v>46178</v>
      </c>
      <c r="C25" s="13" t="inlineStr">
        <is>
          <t>Past</t>
        </is>
      </c>
      <c r="D25" s="11" t="n">
        <v>71614</v>
      </c>
      <c r="E25" s="11" t="n">
        <v>40246</v>
      </c>
      <c r="F25" s="11" t="inlineStr">
        <is>
          <t>Stray Dogs Center</t>
        </is>
      </c>
      <c r="G25" s="11" t="inlineStr">
        <is>
          <t>-</t>
        </is>
      </c>
      <c r="H25" s="11" t="inlineStr">
        <is>
          <t>No</t>
        </is>
      </c>
      <c r="I25" s="12" t="n">
        <v>46175</v>
      </c>
      <c r="J25" s="14" t="n">
        <v>46175.44491421296</v>
      </c>
      <c r="K25" s="11" t="inlineStr">
        <is>
          <t>-</t>
        </is>
      </c>
      <c r="L25" s="15" t="inlineStr">
        <is>
          <t>Samples x 1</t>
        </is>
      </c>
      <c r="M25" s="11" t="inlineStr">
        <is>
          <t>05-06-2026</t>
        </is>
      </c>
      <c r="N25" s="11" t="inlineStr">
        <is>
          <t>Not Subscribed</t>
        </is>
      </c>
      <c r="O25" s="16" t="n">
        <v>0</v>
      </c>
      <c r="P25" s="16" t="n">
        <v>0</v>
      </c>
      <c r="Q25" s="16" t="n">
        <v>25</v>
      </c>
      <c r="R25" s="16" t="n">
        <v>1.19</v>
      </c>
      <c r="S25" s="16" t="n">
        <v>25</v>
      </c>
      <c r="T25" s="13" t="inlineStr">
        <is>
          <t>Umm Al Quwain</t>
        </is>
      </c>
      <c r="U25" s="13" t="inlineStr">
        <is>
          <t>Successful</t>
        </is>
      </c>
      <c r="V25" s="11" t="inlineStr">
        <is>
          <t>Manual Credit Card</t>
        </is>
      </c>
      <c r="W25" s="11" t="inlineStr">
        <is>
          <t>Separate Invoice</t>
        </is>
      </c>
      <c r="X25" s="11" t="inlineStr">
        <is>
          <t>No</t>
        </is>
      </c>
      <c r="Y25" s="15" t="n"/>
      <c r="Z25" s="11" t="n">
        <v>1</v>
      </c>
    </row>
    <row r="26">
      <c r="A26" s="11" t="inlineStr">
        <is>
          <t>Stray Dogs Center</t>
        </is>
      </c>
      <c r="B26" s="12" t="n">
        <v>46192</v>
      </c>
      <c r="C26" s="13" t="inlineStr">
        <is>
          <t>Past</t>
        </is>
      </c>
      <c r="D26" s="11" t="n">
        <v>72067</v>
      </c>
      <c r="E26" s="11" t="n">
        <v>40246</v>
      </c>
      <c r="F26" s="11" t="inlineStr">
        <is>
          <t>Stray Dogs Center</t>
        </is>
      </c>
      <c r="G26" s="11" t="inlineStr">
        <is>
          <t>-</t>
        </is>
      </c>
      <c r="H26" s="11" t="inlineStr">
        <is>
          <t>No</t>
        </is>
      </c>
      <c r="I26" s="12" t="n">
        <v>46189</v>
      </c>
      <c r="J26" s="14" t="n">
        <v>46189.27990206019</v>
      </c>
      <c r="K26" s="11" t="inlineStr">
        <is>
          <t>-</t>
        </is>
      </c>
      <c r="L26" s="15" t="inlineStr">
        <is>
          <t>Samples x 1</t>
        </is>
      </c>
      <c r="M26" s="11" t="inlineStr">
        <is>
          <t>19-06-2026</t>
        </is>
      </c>
      <c r="N26" s="11" t="inlineStr">
        <is>
          <t>Not Subscribed</t>
        </is>
      </c>
      <c r="O26" s="16" t="n">
        <v>0</v>
      </c>
      <c r="P26" s="16" t="n">
        <v>0</v>
      </c>
      <c r="Q26" s="16" t="n">
        <v>25</v>
      </c>
      <c r="R26" s="16" t="n">
        <v>1.19</v>
      </c>
      <c r="S26" s="16" t="n">
        <v>25</v>
      </c>
      <c r="T26" s="13" t="inlineStr">
        <is>
          <t>Umm Al Quwain</t>
        </is>
      </c>
      <c r="U26" s="13" t="inlineStr">
        <is>
          <t>Successful</t>
        </is>
      </c>
      <c r="V26" s="11" t="inlineStr">
        <is>
          <t>Manual Credit Card</t>
        </is>
      </c>
      <c r="W26" s="11" t="inlineStr">
        <is>
          <t>Separate Invoice</t>
        </is>
      </c>
      <c r="X26" s="11" t="inlineStr">
        <is>
          <t>No</t>
        </is>
      </c>
      <c r="Y26" s="15" t="n"/>
      <c r="Z26" s="11" t="n">
        <v>1</v>
      </c>
    </row>
    <row r="27">
      <c r="A27" s="11" t="inlineStr">
        <is>
          <t>Stray Dogs Center</t>
        </is>
      </c>
      <c r="B27" s="12" t="n">
        <v>46206</v>
      </c>
      <c r="C27" s="13" t="inlineStr">
        <is>
          <t>Past</t>
        </is>
      </c>
      <c r="D27" s="11" t="n">
        <v>72068</v>
      </c>
      <c r="E27" s="11" t="n">
        <v>40246</v>
      </c>
      <c r="F27" s="11" t="inlineStr">
        <is>
          <t>Stray Dogs Center</t>
        </is>
      </c>
      <c r="G27" s="11" t="inlineStr">
        <is>
          <t>-</t>
        </is>
      </c>
      <c r="H27" s="11" t="inlineStr">
        <is>
          <t>No</t>
        </is>
      </c>
      <c r="I27" s="12" t="n">
        <v>46189</v>
      </c>
      <c r="J27" s="14" t="n">
        <v>46189.28021643519</v>
      </c>
      <c r="K27" s="11" t="inlineStr">
        <is>
          <t>-</t>
        </is>
      </c>
      <c r="L27" s="15" t="inlineStr">
        <is>
          <t>Samples x 1</t>
        </is>
      </c>
      <c r="M27" s="11" t="inlineStr">
        <is>
          <t>03-07-2026</t>
        </is>
      </c>
      <c r="N27" s="11" t="inlineStr">
        <is>
          <t>Not Subscribed</t>
        </is>
      </c>
      <c r="O27" s="16" t="n">
        <v>0</v>
      </c>
      <c r="P27" s="16" t="n">
        <v>0</v>
      </c>
      <c r="Q27" s="16" t="n">
        <v>25</v>
      </c>
      <c r="R27" s="16" t="n">
        <v>1.19</v>
      </c>
      <c r="S27" s="16" t="n">
        <v>25</v>
      </c>
      <c r="T27" s="13" t="inlineStr">
        <is>
          <t>Umm Al Quwain</t>
        </is>
      </c>
      <c r="U27" s="13" t="inlineStr">
        <is>
          <t>Successful</t>
        </is>
      </c>
      <c r="V27" s="11" t="inlineStr">
        <is>
          <t>Manual Credit Card</t>
        </is>
      </c>
      <c r="W27" s="11" t="inlineStr">
        <is>
          <t>Separate Invoice</t>
        </is>
      </c>
      <c r="X27" s="11" t="inlineStr">
        <is>
          <t>No</t>
        </is>
      </c>
      <c r="Y27" s="15" t="n"/>
      <c r="Z27" s="11" t="n">
        <v>1</v>
      </c>
    </row>
    <row r="28">
      <c r="A28" s="11" t="inlineStr">
        <is>
          <t>Stray Dogs Center</t>
        </is>
      </c>
      <c r="B28" s="12" t="n">
        <v>46220</v>
      </c>
      <c r="C28" s="13" t="inlineStr">
        <is>
          <t>Past</t>
        </is>
      </c>
      <c r="D28" s="11" t="n">
        <v>73037</v>
      </c>
      <c r="E28" s="11" t="n">
        <v>40246</v>
      </c>
      <c r="F28" s="11" t="inlineStr">
        <is>
          <t>Stray Dogs Center</t>
        </is>
      </c>
      <c r="G28" s="11" t="inlineStr">
        <is>
          <t>-</t>
        </is>
      </c>
      <c r="H28" s="11" t="inlineStr">
        <is>
          <t>No</t>
        </is>
      </c>
      <c r="I28" s="12" t="n">
        <v>46210</v>
      </c>
      <c r="J28" s="14" t="n">
        <v>46219.30843447916</v>
      </c>
      <c r="K28" s="11" t="inlineStr">
        <is>
          <t>-</t>
        </is>
      </c>
      <c r="L28" s="15" t="inlineStr">
        <is>
          <t>Samples x 1</t>
        </is>
      </c>
      <c r="M28" s="11" t="inlineStr">
        <is>
          <t>17-07-2026</t>
        </is>
      </c>
      <c r="N28" s="11" t="inlineStr">
        <is>
          <t>Not Subscribed</t>
        </is>
      </c>
      <c r="O28" s="16" t="n">
        <v>0</v>
      </c>
      <c r="P28" s="16" t="n">
        <v>0</v>
      </c>
      <c r="Q28" s="16" t="n">
        <v>25</v>
      </c>
      <c r="R28" s="16" t="n">
        <v>1.19</v>
      </c>
      <c r="S28" s="16" t="n">
        <v>25</v>
      </c>
      <c r="T28" s="13" t="inlineStr">
        <is>
          <t>Umm Al Quwain</t>
        </is>
      </c>
      <c r="U28" s="13" t="inlineStr">
        <is>
          <t>Successful</t>
        </is>
      </c>
      <c r="V28" s="11" t="inlineStr">
        <is>
          <t>Manual Credit Card</t>
        </is>
      </c>
      <c r="W28" s="11" t="inlineStr">
        <is>
          <t>Separate Invoice</t>
        </is>
      </c>
      <c r="X28" s="11" t="inlineStr">
        <is>
          <t>No</t>
        </is>
      </c>
      <c r="Y28" s="15" t="n"/>
      <c r="Z28" s="11" t="n">
        <v>1</v>
      </c>
    </row>
    <row r="29">
      <c r="A29" s="11" t="inlineStr">
        <is>
          <t>Stray Dogs Center</t>
        </is>
      </c>
      <c r="B29" s="12" t="n">
        <v>46234</v>
      </c>
      <c r="C29" s="13" t="inlineStr">
        <is>
          <t>Past</t>
        </is>
      </c>
      <c r="D29" s="11" t="n">
        <v>74061</v>
      </c>
      <c r="E29" s="11" t="n">
        <v>40246</v>
      </c>
      <c r="F29" s="11" t="inlineStr">
        <is>
          <t>Stray Dogs Center</t>
        </is>
      </c>
      <c r="G29" s="11" t="inlineStr">
        <is>
          <t>-</t>
        </is>
      </c>
      <c r="H29" s="11" t="inlineStr">
        <is>
          <t>No</t>
        </is>
      </c>
      <c r="I29" s="12" t="n">
        <v>46233</v>
      </c>
      <c r="J29" s="14" t="n">
        <v>46233.46501197917</v>
      </c>
      <c r="K29" s="11" t="inlineStr">
        <is>
          <t>-</t>
        </is>
      </c>
      <c r="L29" s="15" t="inlineStr">
        <is>
          <t>Samples x 1</t>
        </is>
      </c>
      <c r="M29" s="11" t="inlineStr">
        <is>
          <t>31-07-2026</t>
        </is>
      </c>
      <c r="N29" s="11" t="inlineStr">
        <is>
          <t>Not Subscribed</t>
        </is>
      </c>
      <c r="O29" s="16" t="n">
        <v>0</v>
      </c>
      <c r="P29" s="16" t="n">
        <v>0</v>
      </c>
      <c r="Q29" s="16" t="n">
        <v>25</v>
      </c>
      <c r="R29" s="16" t="n">
        <v>1.19</v>
      </c>
      <c r="S29" s="16" t="n">
        <v>25</v>
      </c>
      <c r="T29" s="13" t="inlineStr">
        <is>
          <t>Umm Al Quwain</t>
        </is>
      </c>
      <c r="U29" s="13" t="inlineStr">
        <is>
          <t>Successful</t>
        </is>
      </c>
      <c r="V29" s="11" t="inlineStr">
        <is>
          <t>Manual Credit Card</t>
        </is>
      </c>
      <c r="W29" s="11" t="inlineStr">
        <is>
          <t>Separate Invoice</t>
        </is>
      </c>
      <c r="X29" s="11" t="inlineStr">
        <is>
          <t>No</t>
        </is>
      </c>
      <c r="Y29" s="15" t="n"/>
      <c r="Z29" s="11" t="n">
        <v>1</v>
      </c>
    </row>
    <row r="30">
      <c r="A30" s="11" t="inlineStr">
        <is>
          <t>Stray Dogs Center</t>
        </is>
      </c>
      <c r="B30" s="12" t="n">
        <v>46251</v>
      </c>
      <c r="C30" s="13" t="inlineStr">
        <is>
          <t>Past</t>
        </is>
      </c>
      <c r="D30" s="11" t="n">
        <v>74790</v>
      </c>
      <c r="E30" s="11" t="n">
        <v>40246</v>
      </c>
      <c r="F30" s="11" t="inlineStr">
        <is>
          <t>Stray Dogs Center</t>
        </is>
      </c>
      <c r="G30" s="11" t="inlineStr">
        <is>
          <t>-</t>
        </is>
      </c>
      <c r="H30" s="11" t="inlineStr">
        <is>
          <t>No</t>
        </is>
      </c>
      <c r="I30" s="12" t="n">
        <v>46249</v>
      </c>
      <c r="J30" s="14" t="n"/>
      <c r="K30" s="11" t="inlineStr">
        <is>
          <t>-</t>
        </is>
      </c>
      <c r="L30" s="15" t="inlineStr">
        <is>
          <t>Samples x 1</t>
        </is>
      </c>
      <c r="M30" s="11" t="inlineStr">
        <is>
          <t>17-08-2026</t>
        </is>
      </c>
      <c r="N30" s="11" t="inlineStr">
        <is>
          <t>Not Subscribed</t>
        </is>
      </c>
      <c r="O30" s="16" t="n">
        <v>0</v>
      </c>
      <c r="P30" s="16" t="n">
        <v>25</v>
      </c>
      <c r="Q30" s="16" t="n">
        <v>0</v>
      </c>
      <c r="R30" s="16" t="n">
        <v>0</v>
      </c>
      <c r="S30" s="16" t="n">
        <v>25</v>
      </c>
      <c r="T30" s="13" t="inlineStr">
        <is>
          <t>Umm Al Quwain</t>
        </is>
      </c>
      <c r="U30" s="13" t="inlineStr">
        <is>
          <t>Successful</t>
        </is>
      </c>
      <c r="V30" s="11" t="inlineStr">
        <is>
          <t>Complimentary</t>
        </is>
      </c>
      <c r="W30" s="11" t="inlineStr">
        <is>
          <t>Separate Invoice</t>
        </is>
      </c>
      <c r="X30" s="11" t="inlineStr">
        <is>
          <t>No</t>
        </is>
      </c>
      <c r="Y30" s="15" t="n"/>
      <c r="Z30" s="11" t="n"/>
    </row>
    <row r="31">
      <c r="A31" s="11" t="inlineStr">
        <is>
          <t>Stray Dogs Center</t>
        </is>
      </c>
      <c r="B31" s="12" t="n">
        <v>46262</v>
      </c>
      <c r="C31" s="13" t="inlineStr">
        <is>
          <t>Past</t>
        </is>
      </c>
      <c r="D31" s="11" t="n">
        <v>75004</v>
      </c>
      <c r="E31" s="11" t="n">
        <v>40246</v>
      </c>
      <c r="F31" s="11" t="inlineStr">
        <is>
          <t>Stray Dogs Center</t>
        </is>
      </c>
      <c r="G31" s="11" t="inlineStr">
        <is>
          <t>-</t>
        </is>
      </c>
      <c r="H31" s="11" t="inlineStr">
        <is>
          <t>No</t>
        </is>
      </c>
      <c r="I31" s="12" t="n">
        <v>46253</v>
      </c>
      <c r="J31" s="14" t="n"/>
      <c r="K31" s="11" t="inlineStr">
        <is>
          <t>-</t>
        </is>
      </c>
      <c r="L31" s="15" t="inlineStr">
        <is>
          <t>Samples x 1</t>
        </is>
      </c>
      <c r="M31" s="11" t="inlineStr">
        <is>
          <t>28-08-2026</t>
        </is>
      </c>
      <c r="N31" s="11" t="inlineStr">
        <is>
          <t>Not Subscribed</t>
        </is>
      </c>
      <c r="O31" s="16" t="n">
        <v>0</v>
      </c>
      <c r="P31" s="16" t="n">
        <v>0</v>
      </c>
      <c r="Q31" s="16" t="n">
        <v>25</v>
      </c>
      <c r="R31" s="16" t="n">
        <v>1.19</v>
      </c>
      <c r="S31" s="16" t="n">
        <v>25</v>
      </c>
      <c r="T31" s="13" t="inlineStr">
        <is>
          <t>Umm Al Quwain</t>
        </is>
      </c>
      <c r="U31" s="13" t="inlineStr">
        <is>
          <t>Abandoned</t>
        </is>
      </c>
      <c r="V31" s="11" t="inlineStr">
        <is>
          <t>Manual Credit Card</t>
        </is>
      </c>
      <c r="W31" s="11" t="inlineStr">
        <is>
          <t>Separate Invoice</t>
        </is>
      </c>
      <c r="X31" s="11" t="inlineStr">
        <is>
          <t>No</t>
        </is>
      </c>
      <c r="Y31" s="15" t="n"/>
      <c r="Z31" s="11" t="n"/>
    </row>
    <row r="32">
      <c r="A32" s="11" t="inlineStr">
        <is>
          <t>Stray Dogs Center</t>
        </is>
      </c>
      <c r="B32" s="12" t="n">
        <v>46262</v>
      </c>
      <c r="C32" s="13" t="inlineStr">
        <is>
          <t>Past</t>
        </is>
      </c>
      <c r="D32" s="11" t="n">
        <v>75427</v>
      </c>
      <c r="E32" s="11" t="n">
        <v>40246</v>
      </c>
      <c r="F32" s="11" t="inlineStr">
        <is>
          <t>Stray Dogs Center</t>
        </is>
      </c>
      <c r="G32" s="11" t="inlineStr">
        <is>
          <t>-</t>
        </is>
      </c>
      <c r="H32" s="11" t="inlineStr">
        <is>
          <t>No</t>
        </is>
      </c>
      <c r="I32" s="12" t="n">
        <v>46261</v>
      </c>
      <c r="J32" s="14" t="n"/>
      <c r="K32" s="11" t="inlineStr">
        <is>
          <t>-</t>
        </is>
      </c>
      <c r="L32" s="15" t="inlineStr">
        <is>
          <t>Samples x 1</t>
        </is>
      </c>
      <c r="M32" s="11" t="inlineStr">
        <is>
          <t>28-08-2026</t>
        </is>
      </c>
      <c r="N32" s="11" t="inlineStr">
        <is>
          <t>Not Subscribed</t>
        </is>
      </c>
      <c r="O32" s="16" t="n">
        <v>0</v>
      </c>
      <c r="P32" s="16" t="n">
        <v>0</v>
      </c>
      <c r="Q32" s="16" t="n">
        <v>0</v>
      </c>
      <c r="R32" s="16" t="n">
        <v>0</v>
      </c>
      <c r="S32" s="16" t="n">
        <v>0</v>
      </c>
      <c r="T32" s="13" t="inlineStr">
        <is>
          <t>Umm Al Quwain</t>
        </is>
      </c>
      <c r="U32" s="13" t="inlineStr">
        <is>
          <t>Successful</t>
        </is>
      </c>
      <c r="V32" s="11" t="inlineStr">
        <is>
          <t>Complimentary</t>
        </is>
      </c>
      <c r="W32" s="11" t="inlineStr">
        <is>
          <t>Separate Invoice</t>
        </is>
      </c>
      <c r="X32" s="11" t="inlineStr">
        <is>
          <t>No</t>
        </is>
      </c>
      <c r="Y32" s="15" t="n"/>
      <c r="Z32" s="11" t="n"/>
    </row>
    <row r="33">
      <c r="A33" s="11" t="inlineStr">
        <is>
          <t>Stray Dogs Center</t>
        </is>
      </c>
      <c r="B33" s="12" t="n">
        <v>46277</v>
      </c>
      <c r="C33" s="13" t="inlineStr">
        <is>
          <t>Past</t>
        </is>
      </c>
      <c r="D33" s="11" t="n">
        <v>75005</v>
      </c>
      <c r="E33" s="11" t="n">
        <v>40246</v>
      </c>
      <c r="F33" s="11" t="inlineStr">
        <is>
          <t>Stray Dogs Center</t>
        </is>
      </c>
      <c r="G33" s="11" t="inlineStr">
        <is>
          <t>-</t>
        </is>
      </c>
      <c r="H33" s="11" t="inlineStr">
        <is>
          <t>No</t>
        </is>
      </c>
      <c r="I33" s="12" t="n">
        <v>46253</v>
      </c>
      <c r="J33" s="14" t="n"/>
      <c r="K33" s="11" t="inlineStr">
        <is>
          <t>-</t>
        </is>
      </c>
      <c r="L33" s="15" t="inlineStr">
        <is>
          <t>Samples x 1</t>
        </is>
      </c>
      <c r="M33" s="11" t="inlineStr">
        <is>
          <t>12-09-2026</t>
        </is>
      </c>
      <c r="N33" s="11" t="inlineStr">
        <is>
          <t>Not Subscribed</t>
        </is>
      </c>
      <c r="O33" s="16" t="n">
        <v>0</v>
      </c>
      <c r="P33" s="16" t="n">
        <v>0</v>
      </c>
      <c r="Q33" s="16" t="n">
        <v>25</v>
      </c>
      <c r="R33" s="16" t="n">
        <v>1.19</v>
      </c>
      <c r="S33" s="16" t="n">
        <v>25</v>
      </c>
      <c r="T33" s="13" t="inlineStr">
        <is>
          <t>Umm Al Quwain</t>
        </is>
      </c>
      <c r="U33" s="13" t="inlineStr">
        <is>
          <t>Abandoned</t>
        </is>
      </c>
      <c r="V33" s="11" t="inlineStr">
        <is>
          <t>Manual Credit Card</t>
        </is>
      </c>
      <c r="W33" s="11" t="inlineStr">
        <is>
          <t>Separate Invoice</t>
        </is>
      </c>
      <c r="X33" s="11" t="inlineStr">
        <is>
          <t>No</t>
        </is>
      </c>
      <c r="Y33" s="15" t="n"/>
      <c r="Z33" s="11" t="n"/>
    </row>
    <row r="34">
      <c r="A34" s="4" t="inlineStr">
        <is>
          <t>Stray Dogs Center</t>
        </is>
      </c>
      <c r="B34" s="5" t="n">
        <v>46290</v>
      </c>
      <c r="C34" s="6" t="inlineStr">
        <is>
          <t>Upcoming</t>
        </is>
      </c>
      <c r="D34" s="4" t="n">
        <v>75006</v>
      </c>
      <c r="E34" s="4" t="n">
        <v>40246</v>
      </c>
      <c r="F34" s="4" t="inlineStr">
        <is>
          <t>Stray Dogs Center</t>
        </is>
      </c>
      <c r="G34" s="4" t="inlineStr">
        <is>
          <t>-</t>
        </is>
      </c>
      <c r="H34" s="4" t="inlineStr">
        <is>
          <t>No</t>
        </is>
      </c>
      <c r="I34" s="5" t="n">
        <v>46253</v>
      </c>
      <c r="J34" s="7" t="n"/>
      <c r="K34" s="4" t="inlineStr">
        <is>
          <t>-</t>
        </is>
      </c>
      <c r="L34" s="8" t="inlineStr">
        <is>
          <t>Samples x 1</t>
        </is>
      </c>
      <c r="M34" s="4" t="inlineStr">
        <is>
          <t>25-09-2026</t>
        </is>
      </c>
      <c r="N34" s="4" t="inlineStr">
        <is>
          <t>Not Subscribed</t>
        </is>
      </c>
      <c r="O34" s="9" t="n">
        <v>0</v>
      </c>
      <c r="P34" s="9" t="n">
        <v>0</v>
      </c>
      <c r="Q34" s="9" t="n">
        <v>25</v>
      </c>
      <c r="R34" s="9" t="n">
        <v>1.19</v>
      </c>
      <c r="S34" s="9" t="n">
        <v>25</v>
      </c>
      <c r="T34" s="6" t="inlineStr">
        <is>
          <t>Umm Al Quwain</t>
        </is>
      </c>
      <c r="U34" s="6" t="inlineStr">
        <is>
          <t>Abandoned</t>
        </is>
      </c>
      <c r="V34" s="4" t="inlineStr">
        <is>
          <t>Manual Credit Card</t>
        </is>
      </c>
      <c r="W34" s="4" t="inlineStr">
        <is>
          <t>Separate Invoice</t>
        </is>
      </c>
      <c r="X34" s="4" t="inlineStr">
        <is>
          <t>No</t>
        </is>
      </c>
      <c r="Y34" s="8" t="n"/>
      <c r="Z34" s="4" t="n"/>
    </row>
    <row r="35">
      <c r="A35" s="4" t="inlineStr">
        <is>
          <t>Stray Dogs Center</t>
        </is>
      </c>
      <c r="B35" s="5" t="n">
        <v>46304</v>
      </c>
      <c r="C35" s="6" t="inlineStr">
        <is>
          <t>Upcoming</t>
        </is>
      </c>
      <c r="D35" s="4" t="n">
        <v>75007</v>
      </c>
      <c r="E35" s="4" t="n">
        <v>40246</v>
      </c>
      <c r="F35" s="4" t="inlineStr">
        <is>
          <t>Stray Dogs Center</t>
        </is>
      </c>
      <c r="G35" s="4" t="inlineStr">
        <is>
          <t>-</t>
        </is>
      </c>
      <c r="H35" s="4" t="inlineStr">
        <is>
          <t>No</t>
        </is>
      </c>
      <c r="I35" s="5" t="n">
        <v>46253</v>
      </c>
      <c r="J35" s="7" t="n"/>
      <c r="K35" s="4" t="inlineStr">
        <is>
          <t>-</t>
        </is>
      </c>
      <c r="L35" s="8" t="inlineStr">
        <is>
          <t>Samples x 1</t>
        </is>
      </c>
      <c r="M35" s="4" t="inlineStr">
        <is>
          <t>09-10-2026</t>
        </is>
      </c>
      <c r="N35" s="4" t="inlineStr">
        <is>
          <t>Not Subscribed</t>
        </is>
      </c>
      <c r="O35" s="9" t="n">
        <v>0</v>
      </c>
      <c r="P35" s="9" t="n">
        <v>0</v>
      </c>
      <c r="Q35" s="9" t="n">
        <v>25</v>
      </c>
      <c r="R35" s="9" t="n">
        <v>1.19</v>
      </c>
      <c r="S35" s="9" t="n">
        <v>25</v>
      </c>
      <c r="T35" s="6" t="inlineStr">
        <is>
          <t>Umm Al Quwain</t>
        </is>
      </c>
      <c r="U35" s="6" t="inlineStr">
        <is>
          <t>Abandoned</t>
        </is>
      </c>
      <c r="V35" s="4" t="inlineStr">
        <is>
          <t>Manual Credit Card</t>
        </is>
      </c>
      <c r="W35" s="4" t="inlineStr">
        <is>
          <t>Separate Invoice</t>
        </is>
      </c>
      <c r="X35" s="4" t="inlineStr">
        <is>
          <t>No</t>
        </is>
      </c>
      <c r="Y35" s="8" t="n"/>
      <c r="Z35" s="4" t="n"/>
    </row>
    <row r="36">
      <c r="A36" s="4" t="inlineStr">
        <is>
          <t>Stray Dogs Center</t>
        </is>
      </c>
      <c r="B36" s="5" t="n">
        <v>46318</v>
      </c>
      <c r="C36" s="6" t="inlineStr">
        <is>
          <t>Upcoming</t>
        </is>
      </c>
      <c r="D36" s="4" t="n">
        <v>75008</v>
      </c>
      <c r="E36" s="4" t="n">
        <v>40246</v>
      </c>
      <c r="F36" s="4" t="inlineStr">
        <is>
          <t>Stray Dogs Center</t>
        </is>
      </c>
      <c r="G36" s="4" t="inlineStr">
        <is>
          <t>-</t>
        </is>
      </c>
      <c r="H36" s="4" t="inlineStr">
        <is>
          <t>No</t>
        </is>
      </c>
      <c r="I36" s="5" t="n">
        <v>46253</v>
      </c>
      <c r="J36" s="7" t="n"/>
      <c r="K36" s="4" t="inlineStr">
        <is>
          <t>-</t>
        </is>
      </c>
      <c r="L36" s="8" t="inlineStr">
        <is>
          <t>Samples x 1</t>
        </is>
      </c>
      <c r="M36" s="4" t="inlineStr">
        <is>
          <t>23-10-2026</t>
        </is>
      </c>
      <c r="N36" s="4" t="inlineStr">
        <is>
          <t>Not Subscribed</t>
        </is>
      </c>
      <c r="O36" s="9" t="n">
        <v>0</v>
      </c>
      <c r="P36" s="9" t="n">
        <v>0</v>
      </c>
      <c r="Q36" s="9" t="n">
        <v>25</v>
      </c>
      <c r="R36" s="9" t="n">
        <v>1.19</v>
      </c>
      <c r="S36" s="9" t="n">
        <v>25</v>
      </c>
      <c r="T36" s="6" t="inlineStr">
        <is>
          <t>Umm Al Quwain</t>
        </is>
      </c>
      <c r="U36" s="6" t="inlineStr">
        <is>
          <t>Abandoned</t>
        </is>
      </c>
      <c r="V36" s="4" t="inlineStr">
        <is>
          <t>Manual Credit Card</t>
        </is>
      </c>
      <c r="W36" s="4" t="inlineStr">
        <is>
          <t>Separate Invoice</t>
        </is>
      </c>
      <c r="X36" s="4" t="inlineStr">
        <is>
          <t>No</t>
        </is>
      </c>
      <c r="Y36" s="8" t="n"/>
      <c r="Z36" s="4" t="n"/>
    </row>
    <row r="37">
      <c r="A37" s="11" t="inlineStr">
        <is>
          <t>Haven of Hope</t>
        </is>
      </c>
      <c r="B37" s="12" t="n">
        <v>46140</v>
      </c>
      <c r="C37" s="13" t="inlineStr">
        <is>
          <t>Past</t>
        </is>
      </c>
      <c r="D37" s="11" t="n">
        <v>70265</v>
      </c>
      <c r="E37" s="11" t="n">
        <v>41785</v>
      </c>
      <c r="F37" s="11" t="inlineStr">
        <is>
          <t>Haven Of Hope Rescue</t>
        </is>
      </c>
      <c r="G37" s="11" t="inlineStr">
        <is>
          <t>-</t>
        </is>
      </c>
      <c r="H37" s="11" t="inlineStr">
        <is>
          <t>No</t>
        </is>
      </c>
      <c r="I37" s="12" t="n">
        <v>46139</v>
      </c>
      <c r="J37" s="14" t="n">
        <v>46139</v>
      </c>
      <c r="K37" s="11" t="inlineStr">
        <is>
          <t>-</t>
        </is>
      </c>
      <c r="L37" s="15" t="inlineStr">
        <is>
          <t>Samples x 1</t>
        </is>
      </c>
      <c r="M37" s="11" t="inlineStr">
        <is>
          <t>28-04-2026</t>
        </is>
      </c>
      <c r="N37" s="11" t="inlineStr">
        <is>
          <t>Not Subscribed</t>
        </is>
      </c>
      <c r="O37" s="16" t="n">
        <v>0</v>
      </c>
      <c r="P37" s="16" t="n">
        <v>0</v>
      </c>
      <c r="Q37" s="16" t="n">
        <v>0</v>
      </c>
      <c r="R37" s="16" t="n">
        <v>0</v>
      </c>
      <c r="S37" s="16" t="n">
        <v>0</v>
      </c>
      <c r="T37" s="13" t="inlineStr">
        <is>
          <t>Dubai</t>
        </is>
      </c>
      <c r="U37" s="13" t="inlineStr">
        <is>
          <t>Successful</t>
        </is>
      </c>
      <c r="V37" s="11" t="inlineStr">
        <is>
          <t>Complimentary</t>
        </is>
      </c>
      <c r="W37" s="11" t="inlineStr">
        <is>
          <t>Separate Invoice</t>
        </is>
      </c>
      <c r="X37" s="11" t="inlineStr">
        <is>
          <t>No</t>
        </is>
      </c>
      <c r="Y37" s="15" t="n"/>
      <c r="Z37" s="11" t="n"/>
    </row>
    <row r="38">
      <c r="A38" s="11" t="inlineStr">
        <is>
          <t>Haven of Hope</t>
        </is>
      </c>
      <c r="B38" s="12" t="n">
        <v>46258</v>
      </c>
      <c r="C38" s="13" t="inlineStr">
        <is>
          <t>Past</t>
        </is>
      </c>
      <c r="D38" s="11" t="n">
        <v>75013</v>
      </c>
      <c r="E38" s="11" t="n">
        <v>41785</v>
      </c>
      <c r="F38" s="11" t="inlineStr">
        <is>
          <t>Haven Of Hope Rescue</t>
        </is>
      </c>
      <c r="G38" s="11" t="inlineStr">
        <is>
          <t>-</t>
        </is>
      </c>
      <c r="H38" s="11" t="inlineStr">
        <is>
          <t>No</t>
        </is>
      </c>
      <c r="I38" s="12" t="n">
        <v>46246</v>
      </c>
      <c r="J38" s="14" t="n"/>
      <c r="K38" s="11" t="inlineStr">
        <is>
          <t>-</t>
        </is>
      </c>
      <c r="L38" s="15" t="inlineStr">
        <is>
          <t>Samples x 1</t>
        </is>
      </c>
      <c r="M38" s="11" t="inlineStr">
        <is>
          <t>24-08-2026</t>
        </is>
      </c>
      <c r="N38" s="11" t="inlineStr">
        <is>
          <t>Not Subscribed</t>
        </is>
      </c>
      <c r="O38" s="16" t="n">
        <v>0</v>
      </c>
      <c r="P38" s="16" t="n">
        <v>0</v>
      </c>
      <c r="Q38" s="16" t="n">
        <v>0</v>
      </c>
      <c r="R38" s="16" t="n">
        <v>0</v>
      </c>
      <c r="S38" s="16" t="n">
        <v>0</v>
      </c>
      <c r="T38" s="13" t="inlineStr">
        <is>
          <t>Dubai</t>
        </is>
      </c>
      <c r="U38" s="13" t="inlineStr">
        <is>
          <t>Successful</t>
        </is>
      </c>
      <c r="V38" s="11" t="inlineStr">
        <is>
          <t>Complimentary</t>
        </is>
      </c>
      <c r="W38" s="11" t="inlineStr">
        <is>
          <t>Separate Invoice</t>
        </is>
      </c>
      <c r="X38" s="11" t="inlineStr">
        <is>
          <t>No</t>
        </is>
      </c>
      <c r="Y38" s="15" t="n"/>
      <c r="Z38" s="11" t="n"/>
    </row>
    <row r="39">
      <c r="A39" s="11" t="inlineStr">
        <is>
          <t>Haven of Hope</t>
        </is>
      </c>
      <c r="B39" s="12" t="n">
        <v>46272</v>
      </c>
      <c r="C39" s="13" t="inlineStr">
        <is>
          <t>Past</t>
        </is>
      </c>
      <c r="D39" s="11" t="n">
        <v>75014</v>
      </c>
      <c r="E39" s="11" t="n">
        <v>41785</v>
      </c>
      <c r="F39" s="11" t="inlineStr">
        <is>
          <t>Haven Of Hope Rescue</t>
        </is>
      </c>
      <c r="G39" s="11" t="inlineStr">
        <is>
          <t>-</t>
        </is>
      </c>
      <c r="H39" s="11" t="inlineStr">
        <is>
          <t>No</t>
        </is>
      </c>
      <c r="I39" s="12" t="n">
        <v>46253</v>
      </c>
      <c r="J39" s="14" t="n"/>
      <c r="K39" s="11" t="inlineStr">
        <is>
          <t>-</t>
        </is>
      </c>
      <c r="L39" s="15" t="inlineStr">
        <is>
          <t>Samples x 1</t>
        </is>
      </c>
      <c r="M39" s="11" t="inlineStr">
        <is>
          <t>07-09-2026</t>
        </is>
      </c>
      <c r="N39" s="11" t="inlineStr">
        <is>
          <t>Not Subscribed</t>
        </is>
      </c>
      <c r="O39" s="16" t="n">
        <v>0</v>
      </c>
      <c r="P39" s="16" t="n">
        <v>0</v>
      </c>
      <c r="Q39" s="16" t="n">
        <v>0</v>
      </c>
      <c r="R39" s="16" t="n">
        <v>0</v>
      </c>
      <c r="S39" s="16" t="n">
        <v>0</v>
      </c>
      <c r="T39" s="13" t="inlineStr">
        <is>
          <t>Dubai</t>
        </is>
      </c>
      <c r="U39" s="13" t="inlineStr">
        <is>
          <t>Successful</t>
        </is>
      </c>
      <c r="V39" s="11" t="inlineStr">
        <is>
          <t>Complimentary</t>
        </is>
      </c>
      <c r="W39" s="11" t="inlineStr">
        <is>
          <t>Separate Invoice</t>
        </is>
      </c>
      <c r="X39" s="11" t="inlineStr">
        <is>
          <t>No</t>
        </is>
      </c>
      <c r="Y39" s="15" t="n"/>
      <c r="Z39" s="11" t="n"/>
    </row>
    <row r="40">
      <c r="A40" s="4" t="inlineStr">
        <is>
          <t>Haven of Hope</t>
        </is>
      </c>
      <c r="B40" s="5" t="n">
        <v>46286</v>
      </c>
      <c r="C40" s="6" t="inlineStr">
        <is>
          <t>Upcoming</t>
        </is>
      </c>
      <c r="D40" s="4" t="n">
        <v>75015</v>
      </c>
      <c r="E40" s="4" t="n">
        <v>41785</v>
      </c>
      <c r="F40" s="4" t="inlineStr">
        <is>
          <t>Haven Of Hope Rescue</t>
        </is>
      </c>
      <c r="G40" s="4" t="inlineStr">
        <is>
          <t>-</t>
        </is>
      </c>
      <c r="H40" s="4" t="inlineStr">
        <is>
          <t>No</t>
        </is>
      </c>
      <c r="I40" s="5" t="n">
        <v>46253</v>
      </c>
      <c r="J40" s="7" t="n"/>
      <c r="K40" s="4" t="inlineStr">
        <is>
          <t>-</t>
        </is>
      </c>
      <c r="L40" s="8" t="inlineStr">
        <is>
          <t>Samples x 1</t>
        </is>
      </c>
      <c r="M40" s="4" t="inlineStr">
        <is>
          <t>21-09-2026</t>
        </is>
      </c>
      <c r="N40" s="4" t="inlineStr">
        <is>
          <t>Not Subscribed</t>
        </is>
      </c>
      <c r="O40" s="9" t="n">
        <v>0</v>
      </c>
      <c r="P40" s="9" t="n">
        <v>0</v>
      </c>
      <c r="Q40" s="9" t="n">
        <v>0</v>
      </c>
      <c r="R40" s="9" t="n">
        <v>0</v>
      </c>
      <c r="S40" s="9" t="n">
        <v>0</v>
      </c>
      <c r="T40" s="6" t="inlineStr">
        <is>
          <t>Dubai</t>
        </is>
      </c>
      <c r="U40" s="6" t="inlineStr">
        <is>
          <t>Successful</t>
        </is>
      </c>
      <c r="V40" s="4" t="inlineStr">
        <is>
          <t>Complimentary</t>
        </is>
      </c>
      <c r="W40" s="4" t="inlineStr">
        <is>
          <t>Separate Invoice</t>
        </is>
      </c>
      <c r="X40" s="4" t="inlineStr">
        <is>
          <t>No</t>
        </is>
      </c>
      <c r="Y40" s="8" t="n"/>
      <c r="Z40" s="4" t="n"/>
    </row>
    <row r="41">
      <c r="A41" s="4" t="inlineStr">
        <is>
          <t>Haven of Hope</t>
        </is>
      </c>
      <c r="B41" s="5" t="n">
        <v>46300</v>
      </c>
      <c r="C41" s="6" t="inlineStr">
        <is>
          <t>Upcoming</t>
        </is>
      </c>
      <c r="D41" s="4" t="n">
        <v>76265</v>
      </c>
      <c r="E41" s="4" t="n">
        <v>41785</v>
      </c>
      <c r="F41" s="4" t="inlineStr">
        <is>
          <t>Haven Of Hope Rescue</t>
        </is>
      </c>
      <c r="G41" s="4" t="inlineStr">
        <is>
          <t>-</t>
        </is>
      </c>
      <c r="H41" s="4" t="inlineStr">
        <is>
          <t>No</t>
        </is>
      </c>
      <c r="I41" s="5" t="n">
        <v>46280</v>
      </c>
      <c r="J41" s="7" t="n"/>
      <c r="K41" s="4" t="inlineStr">
        <is>
          <t>-</t>
        </is>
      </c>
      <c r="L41" s="8" t="inlineStr">
        <is>
          <t>Samples x 1</t>
        </is>
      </c>
      <c r="M41" s="4" t="inlineStr">
        <is>
          <t>05-10-2026</t>
        </is>
      </c>
      <c r="N41" s="4" t="inlineStr">
        <is>
          <t>Not Subscribed</t>
        </is>
      </c>
      <c r="O41" s="9" t="n">
        <v>0</v>
      </c>
      <c r="P41" s="9" t="n">
        <v>0</v>
      </c>
      <c r="Q41" s="9" t="n">
        <v>0</v>
      </c>
      <c r="R41" s="9" t="n">
        <v>0</v>
      </c>
      <c r="S41" s="9" t="n">
        <v>0</v>
      </c>
      <c r="T41" s="6" t="inlineStr">
        <is>
          <t>Dubai</t>
        </is>
      </c>
      <c r="U41" s="6" t="inlineStr">
        <is>
          <t>Successful</t>
        </is>
      </c>
      <c r="V41" s="4" t="inlineStr">
        <is>
          <t>Complimentary</t>
        </is>
      </c>
      <c r="W41" s="4" t="inlineStr">
        <is>
          <t>Separate Invoice</t>
        </is>
      </c>
      <c r="X41" s="4" t="inlineStr">
        <is>
          <t>No</t>
        </is>
      </c>
      <c r="Y41" s="8" t="inlineStr">
        <is>
          <t xml:space="preserve">Gift a Meal for Haven of Hope, already marked as successful in donation deliveries </t>
        </is>
      </c>
      <c r="Z41" s="4" t="n"/>
    </row>
    <row r="42">
      <c r="A42" s="11" t="inlineStr">
        <is>
          <t>Second Chance Animal Sanctuary</t>
        </is>
      </c>
      <c r="B42" s="12" t="n">
        <v>45917</v>
      </c>
      <c r="C42" s="13" t="inlineStr">
        <is>
          <t>Past</t>
        </is>
      </c>
      <c r="D42" s="11" t="n">
        <v>52644</v>
      </c>
      <c r="E42" s="11" t="n">
        <v>29813</v>
      </c>
      <c r="F42" s="11" t="inlineStr">
        <is>
          <t>Second Chance Animal Sanctuary</t>
        </is>
      </c>
      <c r="G42" s="11" t="inlineStr">
        <is>
          <t>-</t>
        </is>
      </c>
      <c r="H42" s="11" t="inlineStr">
        <is>
          <t>No</t>
        </is>
      </c>
      <c r="I42" s="12" t="n">
        <v>45916</v>
      </c>
      <c r="J42" s="14" t="n">
        <v>45916</v>
      </c>
      <c r="K42" s="11" t="inlineStr">
        <is>
          <t>-</t>
        </is>
      </c>
      <c r="L42" s="15" t="inlineStr">
        <is>
          <t>Samples x 1</t>
        </is>
      </c>
      <c r="M42" s="11" t="inlineStr">
        <is>
          <t>17-09-2025</t>
        </is>
      </c>
      <c r="N42" s="11" t="inlineStr">
        <is>
          <t>Not Subscribed</t>
        </is>
      </c>
      <c r="O42" s="16" t="n">
        <v>0</v>
      </c>
      <c r="P42" s="16" t="n">
        <v>25</v>
      </c>
      <c r="Q42" s="16" t="n">
        <v>0</v>
      </c>
      <c r="R42" s="16" t="n">
        <v>0</v>
      </c>
      <c r="S42" s="16" t="n">
        <v>25</v>
      </c>
      <c r="T42" s="13" t="inlineStr">
        <is>
          <t>RAK</t>
        </is>
      </c>
      <c r="U42" s="13" t="inlineStr">
        <is>
          <t>Successful</t>
        </is>
      </c>
      <c r="V42" s="11" t="inlineStr">
        <is>
          <t>Complimentary</t>
        </is>
      </c>
      <c r="W42" s="11" t="inlineStr">
        <is>
          <t>Separate Invoice</t>
        </is>
      </c>
      <c r="X42" s="11" t="inlineStr">
        <is>
          <t>No</t>
        </is>
      </c>
      <c r="Y42" s="15" t="n"/>
      <c r="Z42" s="11" t="n"/>
    </row>
    <row r="43">
      <c r="A43" s="11" t="inlineStr">
        <is>
          <t>Second Chance Animal Sanctuary</t>
        </is>
      </c>
      <c r="B43" s="12" t="n">
        <v>45969</v>
      </c>
      <c r="C43" s="13" t="inlineStr">
        <is>
          <t>Past</t>
        </is>
      </c>
      <c r="D43" s="11" t="n">
        <v>64137</v>
      </c>
      <c r="E43" s="11" t="n">
        <v>29813</v>
      </c>
      <c r="F43" s="11" t="inlineStr">
        <is>
          <t>Second Chance Animal Sanctuary</t>
        </is>
      </c>
      <c r="G43" s="11" t="inlineStr">
        <is>
          <t>-</t>
        </is>
      </c>
      <c r="H43" s="11" t="inlineStr">
        <is>
          <t>No</t>
        </is>
      </c>
      <c r="I43" s="12" t="n">
        <v>45966</v>
      </c>
      <c r="J43" s="14" t="n"/>
      <c r="K43" s="11" t="inlineStr">
        <is>
          <t>-</t>
        </is>
      </c>
      <c r="L43" s="15" t="inlineStr">
        <is>
          <t>Gift a Meal AED 140 x 6</t>
        </is>
      </c>
      <c r="M43" s="11" t="inlineStr">
        <is>
          <t>08-11-2025</t>
        </is>
      </c>
      <c r="N43" s="11" t="inlineStr">
        <is>
          <t>Not Subscribed</t>
        </is>
      </c>
      <c r="O43" s="16" t="n">
        <v>0</v>
      </c>
      <c r="P43" s="16" t="n">
        <v>0</v>
      </c>
      <c r="Q43" s="16" t="n">
        <v>25</v>
      </c>
      <c r="R43" s="16" t="n">
        <v>1.19</v>
      </c>
      <c r="S43" s="16" t="n">
        <v>25</v>
      </c>
      <c r="T43" s="13" t="inlineStr">
        <is>
          <t>RAK</t>
        </is>
      </c>
      <c r="U43" s="13" t="inlineStr">
        <is>
          <t>Abandoned</t>
        </is>
      </c>
      <c r="V43" s="11" t="inlineStr">
        <is>
          <t>Manual Credit Card</t>
        </is>
      </c>
      <c r="W43" s="11" t="inlineStr">
        <is>
          <t>Separate Invoice</t>
        </is>
      </c>
      <c r="X43" s="11" t="inlineStr">
        <is>
          <t>No</t>
        </is>
      </c>
      <c r="Y43" s="15" t="n"/>
      <c r="Z43" s="11" t="n"/>
    </row>
    <row r="44">
      <c r="A44" s="11" t="inlineStr">
        <is>
          <t>Second Chance Animal Sanctuary</t>
        </is>
      </c>
      <c r="B44" s="12" t="n">
        <v>46007</v>
      </c>
      <c r="C44" s="13" t="inlineStr">
        <is>
          <t>Past</t>
        </is>
      </c>
      <c r="D44" s="11" t="n">
        <v>65409</v>
      </c>
      <c r="E44" s="11" t="n">
        <v>29813</v>
      </c>
      <c r="F44" s="11" t="inlineStr">
        <is>
          <t>Second Chance Animal Sanctuary</t>
        </is>
      </c>
      <c r="G44" s="11" t="inlineStr">
        <is>
          <t>-</t>
        </is>
      </c>
      <c r="H44" s="11" t="inlineStr">
        <is>
          <t>No</t>
        </is>
      </c>
      <c r="I44" s="12" t="n">
        <v>46002</v>
      </c>
      <c r="J44" s="14" t="n">
        <v>46002</v>
      </c>
      <c r="K44" s="11" t="inlineStr">
        <is>
          <t>-</t>
        </is>
      </c>
      <c r="L44" s="15" t="inlineStr">
        <is>
          <t>Gift a Meal AED 140 x 1</t>
        </is>
      </c>
      <c r="M44" s="11" t="inlineStr">
        <is>
          <t>16-12-2025</t>
        </is>
      </c>
      <c r="N44" s="11" t="inlineStr">
        <is>
          <t>Not Subscribed</t>
        </is>
      </c>
      <c r="O44" s="16" t="n">
        <v>0</v>
      </c>
      <c r="P44" s="16" t="n">
        <v>25</v>
      </c>
      <c r="Q44" s="16" t="n">
        <v>0</v>
      </c>
      <c r="R44" s="16" t="n">
        <v>0</v>
      </c>
      <c r="S44" s="16" t="n">
        <v>25</v>
      </c>
      <c r="T44" s="13" t="inlineStr">
        <is>
          <t>RAK</t>
        </is>
      </c>
      <c r="U44" s="13" t="inlineStr">
        <is>
          <t>Successful</t>
        </is>
      </c>
      <c r="V44" s="11" t="inlineStr">
        <is>
          <t>Complimentary</t>
        </is>
      </c>
      <c r="W44" s="11" t="inlineStr">
        <is>
          <t>Separate Invoice</t>
        </is>
      </c>
      <c r="X44" s="11" t="inlineStr">
        <is>
          <t>No</t>
        </is>
      </c>
      <c r="Y44" s="15" t="n"/>
      <c r="Z44" s="11" t="n"/>
    </row>
    <row r="45">
      <c r="A45" s="11" t="inlineStr">
        <is>
          <t>Second Chance Animal Sanctuary</t>
        </is>
      </c>
      <c r="B45" s="12" t="n">
        <v>46034</v>
      </c>
      <c r="C45" s="13" t="inlineStr">
        <is>
          <t>Past</t>
        </is>
      </c>
      <c r="D45" s="11" t="n">
        <v>66089</v>
      </c>
      <c r="E45" s="11" t="n">
        <v>29813</v>
      </c>
      <c r="F45" s="11" t="inlineStr">
        <is>
          <t>Second Chance Animal Sanctuary</t>
        </is>
      </c>
      <c r="G45" s="11" t="inlineStr">
        <is>
          <t>-</t>
        </is>
      </c>
      <c r="H45" s="11" t="inlineStr">
        <is>
          <t>No</t>
        </is>
      </c>
      <c r="I45" s="12" t="n">
        <v>46020</v>
      </c>
      <c r="J45" s="14" t="n">
        <v>46020</v>
      </c>
      <c r="K45" s="11" t="inlineStr">
        <is>
          <t>-</t>
        </is>
      </c>
      <c r="L45" s="15" t="inlineStr">
        <is>
          <t>Gift a Meal AED 140 x 1</t>
        </is>
      </c>
      <c r="M45" s="11" t="inlineStr">
        <is>
          <t>12-01-2026</t>
        </is>
      </c>
      <c r="N45" s="11" t="inlineStr">
        <is>
          <t>Not Subscribed</t>
        </is>
      </c>
      <c r="O45" s="16" t="n">
        <v>0</v>
      </c>
      <c r="P45" s="16" t="n">
        <v>25</v>
      </c>
      <c r="Q45" s="16" t="n">
        <v>0</v>
      </c>
      <c r="R45" s="16" t="n">
        <v>0</v>
      </c>
      <c r="S45" s="16" t="n">
        <v>25</v>
      </c>
      <c r="T45" s="13" t="inlineStr">
        <is>
          <t>RAK</t>
        </is>
      </c>
      <c r="U45" s="13" t="inlineStr">
        <is>
          <t>Successful</t>
        </is>
      </c>
      <c r="V45" s="11" t="inlineStr">
        <is>
          <t>Complimentary</t>
        </is>
      </c>
      <c r="W45" s="11" t="inlineStr">
        <is>
          <t>Separate Invoice</t>
        </is>
      </c>
      <c r="X45" s="11" t="inlineStr">
        <is>
          <t>No</t>
        </is>
      </c>
      <c r="Y45" s="15" t="n"/>
      <c r="Z45" s="11" t="n"/>
    </row>
    <row r="46">
      <c r="A46" s="11" t="inlineStr">
        <is>
          <t>Second Chance Animal Sanctuary</t>
        </is>
      </c>
      <c r="B46" s="12" t="n">
        <v>46045</v>
      </c>
      <c r="C46" s="13" t="inlineStr">
        <is>
          <t>Past</t>
        </is>
      </c>
      <c r="D46" s="11" t="n">
        <v>66760</v>
      </c>
      <c r="E46" s="11" t="n">
        <v>29813</v>
      </c>
      <c r="F46" s="11" t="inlineStr">
        <is>
          <t>Second Chance Animal Sanctuary</t>
        </is>
      </c>
      <c r="G46" s="11" t="inlineStr">
        <is>
          <t>-</t>
        </is>
      </c>
      <c r="H46" s="11" t="inlineStr">
        <is>
          <t>No</t>
        </is>
      </c>
      <c r="I46" s="12" t="n">
        <v>46041</v>
      </c>
      <c r="J46" s="14" t="n">
        <v>46041</v>
      </c>
      <c r="K46" s="11" t="inlineStr">
        <is>
          <t>-</t>
        </is>
      </c>
      <c r="L46" s="15" t="inlineStr">
        <is>
          <t>Samples x 1</t>
        </is>
      </c>
      <c r="M46" s="11" t="inlineStr">
        <is>
          <t>23-01-2026</t>
        </is>
      </c>
      <c r="N46" s="11" t="inlineStr">
        <is>
          <t>Not Subscribed</t>
        </is>
      </c>
      <c r="O46" s="16" t="n">
        <v>0</v>
      </c>
      <c r="P46" s="16" t="n">
        <v>25</v>
      </c>
      <c r="Q46" s="16" t="n">
        <v>0</v>
      </c>
      <c r="R46" s="16" t="n">
        <v>0</v>
      </c>
      <c r="S46" s="16" t="n">
        <v>25</v>
      </c>
      <c r="T46" s="13" t="inlineStr">
        <is>
          <t>RAK</t>
        </is>
      </c>
      <c r="U46" s="13" t="inlineStr">
        <is>
          <t>Successful</t>
        </is>
      </c>
      <c r="V46" s="11" t="inlineStr">
        <is>
          <t>Complimentary</t>
        </is>
      </c>
      <c r="W46" s="11" t="inlineStr">
        <is>
          <t>Separate Invoice</t>
        </is>
      </c>
      <c r="X46" s="11" t="inlineStr">
        <is>
          <t>No</t>
        </is>
      </c>
      <c r="Y46" s="15" t="n"/>
      <c r="Z46" s="11" t="n"/>
    </row>
    <row r="47">
      <c r="A47" s="11" t="inlineStr">
        <is>
          <t>Second Chance Animal Sanctuary</t>
        </is>
      </c>
      <c r="B47" s="12" t="n">
        <v>46052</v>
      </c>
      <c r="C47" s="13" t="inlineStr">
        <is>
          <t>Past</t>
        </is>
      </c>
      <c r="D47" s="11" t="n">
        <v>67143</v>
      </c>
      <c r="E47" s="11" t="n">
        <v>29813</v>
      </c>
      <c r="F47" s="11" t="inlineStr">
        <is>
          <t>Second Chance Animal Sanctuary</t>
        </is>
      </c>
      <c r="G47" s="11" t="inlineStr">
        <is>
          <t>-</t>
        </is>
      </c>
      <c r="H47" s="11" t="inlineStr">
        <is>
          <t>No</t>
        </is>
      </c>
      <c r="I47" s="12" t="n">
        <v>46050</v>
      </c>
      <c r="J47" s="14" t="n">
        <v>46050</v>
      </c>
      <c r="K47" s="11" t="inlineStr">
        <is>
          <t>-</t>
        </is>
      </c>
      <c r="L47" s="15" t="inlineStr">
        <is>
          <t>Samples x 1</t>
        </is>
      </c>
      <c r="M47" s="11" t="inlineStr">
        <is>
          <t>30-01-2026</t>
        </is>
      </c>
      <c r="N47" s="11" t="inlineStr">
        <is>
          <t>Not Subscribed</t>
        </is>
      </c>
      <c r="O47" s="16" t="n">
        <v>0</v>
      </c>
      <c r="P47" s="16" t="n">
        <v>0</v>
      </c>
      <c r="Q47" s="16" t="n">
        <v>0</v>
      </c>
      <c r="R47" s="16" t="n">
        <v>0</v>
      </c>
      <c r="S47" s="16" t="n">
        <v>0</v>
      </c>
      <c r="T47" s="13" t="inlineStr">
        <is>
          <t>RAK</t>
        </is>
      </c>
      <c r="U47" s="13" t="inlineStr">
        <is>
          <t>Successful</t>
        </is>
      </c>
      <c r="V47" s="11" t="inlineStr">
        <is>
          <t>Complimentary</t>
        </is>
      </c>
      <c r="W47" s="11" t="inlineStr">
        <is>
          <t>Separate Invoice</t>
        </is>
      </c>
      <c r="X47" s="11" t="inlineStr">
        <is>
          <t>No</t>
        </is>
      </c>
      <c r="Y47" s="15" t="n"/>
      <c r="Z47" s="11" t="n"/>
    </row>
    <row r="48">
      <c r="A48" s="11" t="inlineStr">
        <is>
          <t>Second Chance Animal Sanctuary</t>
        </is>
      </c>
      <c r="B48" s="12" t="n">
        <v>46059</v>
      </c>
      <c r="C48" s="13" t="inlineStr">
        <is>
          <t>Past</t>
        </is>
      </c>
      <c r="D48" s="11" t="n">
        <v>67400</v>
      </c>
      <c r="E48" s="11" t="n">
        <v>29813</v>
      </c>
      <c r="F48" s="11" t="inlineStr">
        <is>
          <t>Second Chance Animal Sanctuary</t>
        </is>
      </c>
      <c r="G48" s="11" t="inlineStr">
        <is>
          <t>-</t>
        </is>
      </c>
      <c r="H48" s="11" t="inlineStr">
        <is>
          <t>No</t>
        </is>
      </c>
      <c r="I48" s="12" t="n">
        <v>46057</v>
      </c>
      <c r="J48" s="14" t="n">
        <v>46057</v>
      </c>
      <c r="K48" s="11" t="inlineStr">
        <is>
          <t>-</t>
        </is>
      </c>
      <c r="L48" s="15" t="inlineStr">
        <is>
          <t>Samples x 1</t>
        </is>
      </c>
      <c r="M48" s="11" t="inlineStr">
        <is>
          <t>06-02-2026</t>
        </is>
      </c>
      <c r="N48" s="11" t="inlineStr">
        <is>
          <t>Not Subscribed</t>
        </is>
      </c>
      <c r="O48" s="16" t="n">
        <v>0</v>
      </c>
      <c r="P48" s="16" t="n">
        <v>25</v>
      </c>
      <c r="Q48" s="16" t="n">
        <v>0</v>
      </c>
      <c r="R48" s="16" t="n">
        <v>0</v>
      </c>
      <c r="S48" s="16" t="n">
        <v>25</v>
      </c>
      <c r="T48" s="13" t="inlineStr">
        <is>
          <t>RAK</t>
        </is>
      </c>
      <c r="U48" s="13" t="inlineStr">
        <is>
          <t>Successful</t>
        </is>
      </c>
      <c r="V48" s="11" t="inlineStr">
        <is>
          <t>Complimentary</t>
        </is>
      </c>
      <c r="W48" s="11" t="inlineStr">
        <is>
          <t>Separate Invoice</t>
        </is>
      </c>
      <c r="X48" s="11" t="inlineStr">
        <is>
          <t>No</t>
        </is>
      </c>
      <c r="Y48" s="15" t="n"/>
      <c r="Z48" s="11" t="n"/>
    </row>
    <row r="49">
      <c r="A49" s="11" t="inlineStr">
        <is>
          <t>Second Chance Animal Sanctuary</t>
        </is>
      </c>
      <c r="B49" s="12" t="n">
        <v>46066</v>
      </c>
      <c r="C49" s="13" t="inlineStr">
        <is>
          <t>Past</t>
        </is>
      </c>
      <c r="D49" s="11" t="n">
        <v>67401</v>
      </c>
      <c r="E49" s="11" t="n">
        <v>29813</v>
      </c>
      <c r="F49" s="11" t="inlineStr">
        <is>
          <t>Second Chance Animal Sanctuary</t>
        </is>
      </c>
      <c r="G49" s="11" t="inlineStr">
        <is>
          <t>-</t>
        </is>
      </c>
      <c r="H49" s="11" t="inlineStr">
        <is>
          <t>No</t>
        </is>
      </c>
      <c r="I49" s="12" t="n">
        <v>46057</v>
      </c>
      <c r="J49" s="14" t="n">
        <v>46057</v>
      </c>
      <c r="K49" s="11" t="inlineStr">
        <is>
          <t>-</t>
        </is>
      </c>
      <c r="L49" s="15" t="inlineStr">
        <is>
          <t>Samples x 1</t>
        </is>
      </c>
      <c r="M49" s="11" t="inlineStr">
        <is>
          <t>13-02-2026</t>
        </is>
      </c>
      <c r="N49" s="11" t="inlineStr">
        <is>
          <t>Not Subscribed</t>
        </is>
      </c>
      <c r="O49" s="16" t="n">
        <v>0</v>
      </c>
      <c r="P49" s="16" t="n">
        <v>25</v>
      </c>
      <c r="Q49" s="16" t="n">
        <v>0</v>
      </c>
      <c r="R49" s="16" t="n">
        <v>0</v>
      </c>
      <c r="S49" s="16" t="n">
        <v>25</v>
      </c>
      <c r="T49" s="13" t="inlineStr">
        <is>
          <t>RAK</t>
        </is>
      </c>
      <c r="U49" s="13" t="inlineStr">
        <is>
          <t>Successful</t>
        </is>
      </c>
      <c r="V49" s="11" t="inlineStr">
        <is>
          <t>Complimentary</t>
        </is>
      </c>
      <c r="W49" s="11" t="inlineStr">
        <is>
          <t>Separate Invoice</t>
        </is>
      </c>
      <c r="X49" s="11" t="inlineStr">
        <is>
          <t>No</t>
        </is>
      </c>
      <c r="Y49" s="15" t="n"/>
      <c r="Z49" s="11" t="n"/>
    </row>
    <row r="50">
      <c r="A50" s="11" t="inlineStr">
        <is>
          <t>Second Chance Animal Sanctuary</t>
        </is>
      </c>
      <c r="B50" s="12" t="n">
        <v>46073</v>
      </c>
      <c r="C50" s="13" t="inlineStr">
        <is>
          <t>Past</t>
        </is>
      </c>
      <c r="D50" s="11" t="n">
        <v>67402</v>
      </c>
      <c r="E50" s="11" t="n">
        <v>29813</v>
      </c>
      <c r="F50" s="11" t="inlineStr">
        <is>
          <t>Second Chance Animal Sanctuary</t>
        </is>
      </c>
      <c r="G50" s="11" t="inlineStr">
        <is>
          <t>-</t>
        </is>
      </c>
      <c r="H50" s="11" t="inlineStr">
        <is>
          <t>No</t>
        </is>
      </c>
      <c r="I50" s="12" t="n">
        <v>46057</v>
      </c>
      <c r="J50" s="14" t="n">
        <v>46057</v>
      </c>
      <c r="K50" s="11" t="inlineStr">
        <is>
          <t>-</t>
        </is>
      </c>
      <c r="L50" s="15" t="inlineStr">
        <is>
          <t>Samples x 1</t>
        </is>
      </c>
      <c r="M50" s="11" t="inlineStr">
        <is>
          <t>20-02-2026</t>
        </is>
      </c>
      <c r="N50" s="11" t="inlineStr">
        <is>
          <t>Not Subscribed</t>
        </is>
      </c>
      <c r="O50" s="16" t="n">
        <v>0</v>
      </c>
      <c r="P50" s="16" t="n">
        <v>25</v>
      </c>
      <c r="Q50" s="16" t="n">
        <v>0</v>
      </c>
      <c r="R50" s="16" t="n">
        <v>0</v>
      </c>
      <c r="S50" s="16" t="n">
        <v>25</v>
      </c>
      <c r="T50" s="13" t="inlineStr">
        <is>
          <t>RAK</t>
        </is>
      </c>
      <c r="U50" s="13" t="inlineStr">
        <is>
          <t>Successful</t>
        </is>
      </c>
      <c r="V50" s="11" t="inlineStr">
        <is>
          <t>Complimentary</t>
        </is>
      </c>
      <c r="W50" s="11" t="inlineStr">
        <is>
          <t>Separate Invoice</t>
        </is>
      </c>
      <c r="X50" s="11" t="inlineStr">
        <is>
          <t>No</t>
        </is>
      </c>
      <c r="Y50" s="15" t="n"/>
      <c r="Z50" s="11" t="n"/>
    </row>
    <row r="51">
      <c r="A51" s="11" t="inlineStr">
        <is>
          <t>Second Chance Animal Sanctuary</t>
        </is>
      </c>
      <c r="B51" s="12" t="n">
        <v>46080</v>
      </c>
      <c r="C51" s="13" t="inlineStr">
        <is>
          <t>Past</t>
        </is>
      </c>
      <c r="D51" s="11" t="n">
        <v>68060</v>
      </c>
      <c r="E51" s="11" t="n">
        <v>29813</v>
      </c>
      <c r="F51" s="11" t="inlineStr">
        <is>
          <t>Second Chance Animal Sanctuary</t>
        </is>
      </c>
      <c r="G51" s="11" t="inlineStr">
        <is>
          <t>-</t>
        </is>
      </c>
      <c r="H51" s="11" t="inlineStr">
        <is>
          <t>No</t>
        </is>
      </c>
      <c r="I51" s="12" t="n">
        <v>46076</v>
      </c>
      <c r="J51" s="14" t="n">
        <v>46076</v>
      </c>
      <c r="K51" s="11" t="inlineStr">
        <is>
          <t>-</t>
        </is>
      </c>
      <c r="L51" s="15" t="inlineStr">
        <is>
          <t>Samples x 1</t>
        </is>
      </c>
      <c r="M51" s="11" t="inlineStr">
        <is>
          <t>27-02-2026</t>
        </is>
      </c>
      <c r="N51" s="11" t="inlineStr">
        <is>
          <t>Not Subscribed</t>
        </is>
      </c>
      <c r="O51" s="16" t="n">
        <v>0</v>
      </c>
      <c r="P51" s="16" t="n">
        <v>0</v>
      </c>
      <c r="Q51" s="16" t="n">
        <v>0</v>
      </c>
      <c r="R51" s="16" t="n">
        <v>0</v>
      </c>
      <c r="S51" s="16" t="n">
        <v>0</v>
      </c>
      <c r="T51" s="13" t="inlineStr">
        <is>
          <t>RAK</t>
        </is>
      </c>
      <c r="U51" s="13" t="inlineStr">
        <is>
          <t>Successful</t>
        </is>
      </c>
      <c r="V51" s="11" t="inlineStr">
        <is>
          <t>Complimentary</t>
        </is>
      </c>
      <c r="W51" s="11" t="inlineStr">
        <is>
          <t>Separate Invoice</t>
        </is>
      </c>
      <c r="X51" s="11" t="inlineStr">
        <is>
          <t>No</t>
        </is>
      </c>
      <c r="Y51" s="15" t="n"/>
      <c r="Z51" s="11" t="n"/>
    </row>
    <row r="52">
      <c r="A52" s="11" t="inlineStr">
        <is>
          <t>Second Chance Animal Sanctuary</t>
        </is>
      </c>
      <c r="B52" s="12" t="n">
        <v>46087</v>
      </c>
      <c r="C52" s="13" t="inlineStr">
        <is>
          <t>Past</t>
        </is>
      </c>
      <c r="D52" s="11" t="n">
        <v>68319</v>
      </c>
      <c r="E52" s="11" t="n">
        <v>29813</v>
      </c>
      <c r="F52" s="11" t="inlineStr">
        <is>
          <t>Second Chance Animal Sanctuary</t>
        </is>
      </c>
      <c r="G52" s="11" t="inlineStr">
        <is>
          <t>-</t>
        </is>
      </c>
      <c r="H52" s="11" t="inlineStr">
        <is>
          <t>No</t>
        </is>
      </c>
      <c r="I52" s="12" t="n">
        <v>46084</v>
      </c>
      <c r="J52" s="14" t="n">
        <v>46084</v>
      </c>
      <c r="K52" s="11" t="inlineStr">
        <is>
          <t>-</t>
        </is>
      </c>
      <c r="L52" s="15" t="inlineStr">
        <is>
          <t>Samples x 1</t>
        </is>
      </c>
      <c r="M52" s="11" t="inlineStr">
        <is>
          <t>06-03-2026</t>
        </is>
      </c>
      <c r="N52" s="11" t="inlineStr">
        <is>
          <t>Not Subscribed</t>
        </is>
      </c>
      <c r="O52" s="16" t="n">
        <v>0</v>
      </c>
      <c r="P52" s="16" t="n">
        <v>25</v>
      </c>
      <c r="Q52" s="16" t="n">
        <v>0</v>
      </c>
      <c r="R52" s="16" t="n">
        <v>0</v>
      </c>
      <c r="S52" s="16" t="n">
        <v>25</v>
      </c>
      <c r="T52" s="13" t="inlineStr">
        <is>
          <t>RAK</t>
        </is>
      </c>
      <c r="U52" s="13" t="inlineStr">
        <is>
          <t>Successful</t>
        </is>
      </c>
      <c r="V52" s="11" t="inlineStr">
        <is>
          <t>Complimentary</t>
        </is>
      </c>
      <c r="W52" s="11" t="inlineStr">
        <is>
          <t>Separate Invoice</t>
        </is>
      </c>
      <c r="X52" s="11" t="inlineStr">
        <is>
          <t>No</t>
        </is>
      </c>
      <c r="Y52" s="15" t="n"/>
      <c r="Z52" s="11" t="n"/>
    </row>
    <row r="53">
      <c r="A53" s="11" t="inlineStr">
        <is>
          <t>Second Chance Animal Sanctuary</t>
        </is>
      </c>
      <c r="B53" s="12" t="n">
        <v>46094</v>
      </c>
      <c r="C53" s="13" t="inlineStr">
        <is>
          <t>Past</t>
        </is>
      </c>
      <c r="D53" s="11" t="n">
        <v>68321</v>
      </c>
      <c r="E53" s="11" t="n">
        <v>29813</v>
      </c>
      <c r="F53" s="11" t="inlineStr">
        <is>
          <t>Second Chance Animal Sanctuary</t>
        </is>
      </c>
      <c r="G53" s="11" t="inlineStr">
        <is>
          <t>-</t>
        </is>
      </c>
      <c r="H53" s="11" t="inlineStr">
        <is>
          <t>No</t>
        </is>
      </c>
      <c r="I53" s="12" t="n">
        <v>46084</v>
      </c>
      <c r="J53" s="14" t="n">
        <v>46084</v>
      </c>
      <c r="K53" s="11" t="inlineStr">
        <is>
          <t>-</t>
        </is>
      </c>
      <c r="L53" s="15" t="inlineStr">
        <is>
          <t>Samples x 1</t>
        </is>
      </c>
      <c r="M53" s="11" t="inlineStr">
        <is>
          <t>13-03-2026</t>
        </is>
      </c>
      <c r="N53" s="11" t="inlineStr">
        <is>
          <t>Not Subscribed</t>
        </is>
      </c>
      <c r="O53" s="16" t="n">
        <v>0</v>
      </c>
      <c r="P53" s="16" t="n">
        <v>25</v>
      </c>
      <c r="Q53" s="16" t="n">
        <v>0</v>
      </c>
      <c r="R53" s="16" t="n">
        <v>0</v>
      </c>
      <c r="S53" s="16" t="n">
        <v>25</v>
      </c>
      <c r="T53" s="13" t="inlineStr">
        <is>
          <t>RAK</t>
        </is>
      </c>
      <c r="U53" s="13" t="inlineStr">
        <is>
          <t>Successful</t>
        </is>
      </c>
      <c r="V53" s="11" t="inlineStr">
        <is>
          <t>Complimentary</t>
        </is>
      </c>
      <c r="W53" s="11" t="inlineStr">
        <is>
          <t>Separate Invoice</t>
        </is>
      </c>
      <c r="X53" s="11" t="inlineStr">
        <is>
          <t>No</t>
        </is>
      </c>
      <c r="Y53" s="15" t="n"/>
      <c r="Z53" s="11" t="n"/>
    </row>
    <row r="54">
      <c r="A54" s="11" t="inlineStr">
        <is>
          <t>Second Chance Animal Sanctuary</t>
        </is>
      </c>
      <c r="B54" s="12" t="n">
        <v>46115</v>
      </c>
      <c r="C54" s="13" t="inlineStr">
        <is>
          <t>Past</t>
        </is>
      </c>
      <c r="D54" s="11" t="n">
        <v>69356</v>
      </c>
      <c r="E54" s="11" t="n">
        <v>29813</v>
      </c>
      <c r="F54" s="11" t="inlineStr">
        <is>
          <t>Second Chance Animal Sanctuary</t>
        </is>
      </c>
      <c r="G54" s="11" t="inlineStr">
        <is>
          <t>-</t>
        </is>
      </c>
      <c r="H54" s="11" t="inlineStr">
        <is>
          <t>No</t>
        </is>
      </c>
      <c r="I54" s="12" t="n">
        <v>46113</v>
      </c>
      <c r="J54" s="14" t="n">
        <v>46113</v>
      </c>
      <c r="K54" s="11" t="inlineStr">
        <is>
          <t>-</t>
        </is>
      </c>
      <c r="L54" s="15" t="inlineStr">
        <is>
          <t>Samples x 1</t>
        </is>
      </c>
      <c r="M54" s="11" t="inlineStr">
        <is>
          <t>03-04-2026</t>
        </is>
      </c>
      <c r="N54" s="11" t="inlineStr">
        <is>
          <t>Not Subscribed</t>
        </is>
      </c>
      <c r="O54" s="16" t="n">
        <v>0</v>
      </c>
      <c r="P54" s="16" t="n">
        <v>25</v>
      </c>
      <c r="Q54" s="16" t="n">
        <v>0</v>
      </c>
      <c r="R54" s="16" t="n">
        <v>0</v>
      </c>
      <c r="S54" s="16" t="n">
        <v>25</v>
      </c>
      <c r="T54" s="13" t="inlineStr">
        <is>
          <t>RAK</t>
        </is>
      </c>
      <c r="U54" s="13" t="inlineStr">
        <is>
          <t>Successful</t>
        </is>
      </c>
      <c r="V54" s="11" t="inlineStr">
        <is>
          <t>Complimentary</t>
        </is>
      </c>
      <c r="W54" s="11" t="inlineStr">
        <is>
          <t>Separate Invoice</t>
        </is>
      </c>
      <c r="X54" s="11" t="inlineStr">
        <is>
          <t>No</t>
        </is>
      </c>
      <c r="Y54" s="15" t="n"/>
      <c r="Z54" s="11" t="n"/>
    </row>
    <row r="55">
      <c r="A55" s="11" t="inlineStr">
        <is>
          <t>Second Chance Animal Sanctuary</t>
        </is>
      </c>
      <c r="B55" s="12" t="n">
        <v>46144</v>
      </c>
      <c r="C55" s="13" t="inlineStr">
        <is>
          <t>Past</t>
        </is>
      </c>
      <c r="D55" s="11" t="n">
        <v>70433</v>
      </c>
      <c r="E55" s="11" t="n">
        <v>29813</v>
      </c>
      <c r="F55" s="11" t="inlineStr">
        <is>
          <t>Second Chance Animal Sanctuary</t>
        </is>
      </c>
      <c r="G55" s="11" t="inlineStr">
        <is>
          <t>-</t>
        </is>
      </c>
      <c r="H55" s="11" t="inlineStr">
        <is>
          <t>No</t>
        </is>
      </c>
      <c r="I55" s="12" t="n">
        <v>46142</v>
      </c>
      <c r="J55" s="14" t="n">
        <v>46142</v>
      </c>
      <c r="K55" s="11" t="inlineStr">
        <is>
          <t>-</t>
        </is>
      </c>
      <c r="L55" s="15" t="inlineStr">
        <is>
          <t>Samples x 1</t>
        </is>
      </c>
      <c r="M55" s="11" t="inlineStr">
        <is>
          <t>02-05-2026</t>
        </is>
      </c>
      <c r="N55" s="11" t="inlineStr">
        <is>
          <t>Not Subscribed</t>
        </is>
      </c>
      <c r="O55" s="16" t="n">
        <v>0</v>
      </c>
      <c r="P55" s="16" t="n">
        <v>0</v>
      </c>
      <c r="Q55" s="16" t="n">
        <v>0</v>
      </c>
      <c r="R55" s="16" t="n">
        <v>0</v>
      </c>
      <c r="S55" s="16" t="n">
        <v>0</v>
      </c>
      <c r="T55" s="13" t="inlineStr">
        <is>
          <t>RAK</t>
        </is>
      </c>
      <c r="U55" s="13" t="inlineStr">
        <is>
          <t>Successful</t>
        </is>
      </c>
      <c r="V55" s="11" t="inlineStr">
        <is>
          <t>Complimentary</t>
        </is>
      </c>
      <c r="W55" s="11" t="inlineStr">
        <is>
          <t>Separate Invoice</t>
        </is>
      </c>
      <c r="X55" s="11" t="inlineStr">
        <is>
          <t>No</t>
        </is>
      </c>
      <c r="Y55" s="15" t="n"/>
      <c r="Z55" s="11" t="n"/>
    </row>
    <row r="56">
      <c r="A56" s="11" t="inlineStr">
        <is>
          <t>Second Chance Animal Sanctuary</t>
        </is>
      </c>
      <c r="B56" s="12" t="n">
        <v>46200</v>
      </c>
      <c r="C56" s="13" t="inlineStr">
        <is>
          <t>Past</t>
        </is>
      </c>
      <c r="D56" s="11" t="n">
        <v>72332</v>
      </c>
      <c r="E56" s="11" t="n">
        <v>29813</v>
      </c>
      <c r="F56" s="11" t="inlineStr">
        <is>
          <t>Second Chance Animal Sanctuary</t>
        </is>
      </c>
      <c r="G56" s="11" t="inlineStr">
        <is>
          <t>-</t>
        </is>
      </c>
      <c r="H56" s="11" t="inlineStr">
        <is>
          <t>No</t>
        </is>
      </c>
      <c r="I56" s="12" t="n">
        <v>46196</v>
      </c>
      <c r="J56" s="14" t="n"/>
      <c r="K56" s="11" t="inlineStr">
        <is>
          <t>-</t>
        </is>
      </c>
      <c r="L56" s="15" t="inlineStr">
        <is>
          <t>Samples x 1</t>
        </is>
      </c>
      <c r="M56" s="11" t="inlineStr">
        <is>
          <t>27-06-2026</t>
        </is>
      </c>
      <c r="N56" s="11" t="inlineStr">
        <is>
          <t>Not Subscribed</t>
        </is>
      </c>
      <c r="O56" s="16" t="n">
        <v>0</v>
      </c>
      <c r="P56" s="16" t="n">
        <v>0</v>
      </c>
      <c r="Q56" s="16" t="n">
        <v>25</v>
      </c>
      <c r="R56" s="16" t="n">
        <v>1.19</v>
      </c>
      <c r="S56" s="16" t="n">
        <v>25</v>
      </c>
      <c r="T56" s="13" t="inlineStr">
        <is>
          <t>RAK</t>
        </is>
      </c>
      <c r="U56" s="13" t="inlineStr">
        <is>
          <t>Abandoned</t>
        </is>
      </c>
      <c r="V56" s="11" t="inlineStr">
        <is>
          <t>Manual Credit Card</t>
        </is>
      </c>
      <c r="W56" s="11" t="inlineStr">
        <is>
          <t>Separate Invoice</t>
        </is>
      </c>
      <c r="X56" s="11" t="inlineStr">
        <is>
          <t>No</t>
        </is>
      </c>
      <c r="Y56" s="15" t="n"/>
      <c r="Z56" s="11" t="n"/>
    </row>
    <row r="57">
      <c r="A57" s="11" t="inlineStr">
        <is>
          <t>Second Chance Animal Sanctuary</t>
        </is>
      </c>
      <c r="B57" s="12" t="n">
        <v>46221</v>
      </c>
      <c r="C57" s="13" t="inlineStr">
        <is>
          <t>Past</t>
        </is>
      </c>
      <c r="D57" s="11" t="n">
        <v>73437</v>
      </c>
      <c r="E57" s="11" t="n">
        <v>29813</v>
      </c>
      <c r="F57" s="11" t="inlineStr">
        <is>
          <t>Second Chance Animal Sanctuary</t>
        </is>
      </c>
      <c r="G57" s="11" t="inlineStr">
        <is>
          <t>-</t>
        </is>
      </c>
      <c r="H57" s="11" t="inlineStr">
        <is>
          <t>No</t>
        </is>
      </c>
      <c r="I57" s="12" t="n">
        <v>46219</v>
      </c>
      <c r="J57" s="14" t="n">
        <v>46219</v>
      </c>
      <c r="K57" s="11" t="inlineStr">
        <is>
          <t>-</t>
        </is>
      </c>
      <c r="L57" s="15" t="inlineStr">
        <is>
          <t>Samples x 1</t>
        </is>
      </c>
      <c r="M57" s="11" t="inlineStr">
        <is>
          <t>18-07-2026</t>
        </is>
      </c>
      <c r="N57" s="11" t="inlineStr">
        <is>
          <t>Not Subscribed</t>
        </is>
      </c>
      <c r="O57" s="16" t="n">
        <v>0</v>
      </c>
      <c r="P57" s="16" t="n">
        <v>0</v>
      </c>
      <c r="Q57" s="16" t="n">
        <v>0</v>
      </c>
      <c r="R57" s="16" t="n">
        <v>0</v>
      </c>
      <c r="S57" s="16" t="n">
        <v>0</v>
      </c>
      <c r="T57" s="13" t="inlineStr">
        <is>
          <t>RAK</t>
        </is>
      </c>
      <c r="U57" s="13" t="inlineStr">
        <is>
          <t>Successful</t>
        </is>
      </c>
      <c r="V57" s="11" t="inlineStr">
        <is>
          <t>Complimentary</t>
        </is>
      </c>
      <c r="W57" s="11" t="inlineStr">
        <is>
          <t>Separate Invoice</t>
        </is>
      </c>
      <c r="X57" s="11" t="inlineStr">
        <is>
          <t>No</t>
        </is>
      </c>
      <c r="Y57" s="15" t="n"/>
      <c r="Z57" s="11" t="n"/>
    </row>
    <row r="58">
      <c r="A58" s="11" t="inlineStr">
        <is>
          <t>RAK Animal Welfare Centre</t>
        </is>
      </c>
      <c r="B58" s="12" t="n">
        <v>45667</v>
      </c>
      <c r="C58" s="13" t="inlineStr">
        <is>
          <t>Past</t>
        </is>
      </c>
      <c r="D58" s="11" t="n">
        <v>46076</v>
      </c>
      <c r="E58" s="11" t="n">
        <v>27502</v>
      </c>
      <c r="F58" s="11" t="inlineStr">
        <is>
          <t>RAKAWC</t>
        </is>
      </c>
      <c r="G58" s="11" t="inlineStr">
        <is>
          <t>-</t>
        </is>
      </c>
      <c r="H58" s="11" t="inlineStr">
        <is>
          <t>No</t>
        </is>
      </c>
      <c r="I58" s="12" t="n">
        <v>45666</v>
      </c>
      <c r="J58" s="14" t="n">
        <v>45666</v>
      </c>
      <c r="K58" s="11" t="inlineStr">
        <is>
          <t>-</t>
        </is>
      </c>
      <c r="L58" s="15" t="inlineStr">
        <is>
          <t>Chicken with Banana 1kg x 30</t>
        </is>
      </c>
      <c r="M58" s="11" t="inlineStr">
        <is>
          <t>10-01-2025</t>
        </is>
      </c>
      <c r="N58" s="11" t="inlineStr">
        <is>
          <t>Not Subscribed</t>
        </is>
      </c>
      <c r="O58" s="16" t="n">
        <v>1020</v>
      </c>
      <c r="P58" s="16" t="n">
        <v>1020</v>
      </c>
      <c r="Q58" s="16" t="n">
        <v>0</v>
      </c>
      <c r="R58" s="16" t="n">
        <v>0</v>
      </c>
      <c r="S58" s="16" t="n">
        <v>0</v>
      </c>
      <c r="T58" s="13" t="inlineStr">
        <is>
          <t>RAK</t>
        </is>
      </c>
      <c r="U58" s="13" t="inlineStr">
        <is>
          <t>Successful</t>
        </is>
      </c>
      <c r="V58" s="11" t="inlineStr">
        <is>
          <t>Complimentary</t>
        </is>
      </c>
      <c r="W58" s="11" t="inlineStr">
        <is>
          <t>Separate Invoice</t>
        </is>
      </c>
      <c r="X58" s="11" t="inlineStr">
        <is>
          <t>No</t>
        </is>
      </c>
      <c r="Y58" s="15" t="n"/>
      <c r="Z58" s="11" t="n"/>
    </row>
    <row r="59">
      <c r="A59" s="11" t="inlineStr">
        <is>
          <t>RAK Animal Welfare Centre</t>
        </is>
      </c>
      <c r="B59" s="12" t="n">
        <v>45759</v>
      </c>
      <c r="C59" s="13" t="inlineStr">
        <is>
          <t>Past</t>
        </is>
      </c>
      <c r="D59" s="11" t="n">
        <v>48485</v>
      </c>
      <c r="E59" s="11" t="n">
        <v>27502</v>
      </c>
      <c r="F59" s="11" t="inlineStr">
        <is>
          <t>RAKAWC</t>
        </is>
      </c>
      <c r="G59" s="11" t="inlineStr">
        <is>
          <t>-</t>
        </is>
      </c>
      <c r="H59" s="11" t="inlineStr">
        <is>
          <t>No</t>
        </is>
      </c>
      <c r="I59" s="12" t="n">
        <v>45757</v>
      </c>
      <c r="J59" s="14" t="n">
        <v>45757</v>
      </c>
      <c r="K59" s="11" t="inlineStr">
        <is>
          <t>-</t>
        </is>
      </c>
      <c r="L59" s="15" t="inlineStr">
        <is>
          <t>Samples x 1</t>
        </is>
      </c>
      <c r="M59" s="11" t="inlineStr">
        <is>
          <t>12-04-2025</t>
        </is>
      </c>
      <c r="N59" s="11" t="inlineStr">
        <is>
          <t>Not Subscribed</t>
        </is>
      </c>
      <c r="O59" s="16" t="n">
        <v>0</v>
      </c>
      <c r="P59" s="16" t="n">
        <v>0</v>
      </c>
      <c r="Q59" s="16" t="n">
        <v>0</v>
      </c>
      <c r="R59" s="16" t="n">
        <v>0</v>
      </c>
      <c r="S59" s="16" t="n">
        <v>0</v>
      </c>
      <c r="T59" s="13" t="inlineStr">
        <is>
          <t>RAK</t>
        </is>
      </c>
      <c r="U59" s="13" t="inlineStr">
        <is>
          <t>Successful</t>
        </is>
      </c>
      <c r="V59" s="11" t="inlineStr">
        <is>
          <t>Complimentary</t>
        </is>
      </c>
      <c r="W59" s="11" t="inlineStr">
        <is>
          <t>Separate Invoice</t>
        </is>
      </c>
      <c r="X59" s="11" t="inlineStr">
        <is>
          <t>No</t>
        </is>
      </c>
      <c r="Y59" s="15" t="n"/>
      <c r="Z59" s="11" t="n"/>
    </row>
    <row r="60">
      <c r="A60" s="11" t="inlineStr">
        <is>
          <t>RAK Animal Welfare Centre</t>
        </is>
      </c>
      <c r="B60" s="12" t="n">
        <v>45780</v>
      </c>
      <c r="C60" s="13" t="inlineStr">
        <is>
          <t>Past</t>
        </is>
      </c>
      <c r="D60" s="11" t="n">
        <v>49079</v>
      </c>
      <c r="E60" s="11" t="n">
        <v>27502</v>
      </c>
      <c r="F60" s="11" t="inlineStr">
        <is>
          <t>RAKAWC</t>
        </is>
      </c>
      <c r="G60" s="11" t="inlineStr">
        <is>
          <t>-</t>
        </is>
      </c>
      <c r="H60" s="11" t="inlineStr">
        <is>
          <t>No</t>
        </is>
      </c>
      <c r="I60" s="12" t="n">
        <v>45779</v>
      </c>
      <c r="J60" s="14" t="n">
        <v>45779</v>
      </c>
      <c r="K60" s="11" t="inlineStr">
        <is>
          <t>-</t>
        </is>
      </c>
      <c r="L60" s="15" t="inlineStr">
        <is>
          <t>Samples x 1</t>
        </is>
      </c>
      <c r="M60" s="11" t="inlineStr">
        <is>
          <t>03-05-2025</t>
        </is>
      </c>
      <c r="N60" s="11" t="inlineStr">
        <is>
          <t>Not Subscribed</t>
        </is>
      </c>
      <c r="O60" s="16" t="n">
        <v>0</v>
      </c>
      <c r="P60" s="16" t="n">
        <v>0</v>
      </c>
      <c r="Q60" s="16" t="n">
        <v>0</v>
      </c>
      <c r="R60" s="16" t="n">
        <v>0</v>
      </c>
      <c r="S60" s="16" t="n">
        <v>0</v>
      </c>
      <c r="T60" s="13" t="inlineStr">
        <is>
          <t>RAK</t>
        </is>
      </c>
      <c r="U60" s="13" t="inlineStr">
        <is>
          <t>Successful</t>
        </is>
      </c>
      <c r="V60" s="11" t="inlineStr">
        <is>
          <t>Complimentary</t>
        </is>
      </c>
      <c r="W60" s="11" t="inlineStr">
        <is>
          <t>Separate Invoice</t>
        </is>
      </c>
      <c r="X60" s="11" t="inlineStr">
        <is>
          <t>No</t>
        </is>
      </c>
      <c r="Y60" s="15" t="n"/>
      <c r="Z60" s="11" t="n"/>
    </row>
    <row r="61">
      <c r="A61" s="11" t="inlineStr">
        <is>
          <t>RAK Animal Welfare Centre</t>
        </is>
      </c>
      <c r="B61" s="12" t="n">
        <v>45798</v>
      </c>
      <c r="C61" s="13" t="inlineStr">
        <is>
          <t>Past</t>
        </is>
      </c>
      <c r="D61" s="11" t="n">
        <v>49557</v>
      </c>
      <c r="E61" s="11" t="n">
        <v>27502</v>
      </c>
      <c r="F61" s="11" t="inlineStr">
        <is>
          <t>RAKAWC</t>
        </is>
      </c>
      <c r="G61" s="11" t="inlineStr">
        <is>
          <t>-</t>
        </is>
      </c>
      <c r="H61" s="11" t="inlineStr">
        <is>
          <t>No</t>
        </is>
      </c>
      <c r="I61" s="12" t="n">
        <v>45797</v>
      </c>
      <c r="J61" s="14" t="n">
        <v>45797</v>
      </c>
      <c r="K61" s="11" t="inlineStr">
        <is>
          <t>-</t>
        </is>
      </c>
      <c r="L61" s="15" t="inlineStr">
        <is>
          <t>Samples x 1</t>
        </is>
      </c>
      <c r="M61" s="11" t="inlineStr">
        <is>
          <t>21-05-2025</t>
        </is>
      </c>
      <c r="N61" s="11" t="inlineStr">
        <is>
          <t>Not Subscribed</t>
        </is>
      </c>
      <c r="O61" s="16" t="n">
        <v>0</v>
      </c>
      <c r="P61" s="16" t="n">
        <v>0</v>
      </c>
      <c r="Q61" s="16" t="n">
        <v>0</v>
      </c>
      <c r="R61" s="16" t="n">
        <v>0</v>
      </c>
      <c r="S61" s="16" t="n">
        <v>0</v>
      </c>
      <c r="T61" s="13" t="inlineStr">
        <is>
          <t>RAK</t>
        </is>
      </c>
      <c r="U61" s="13" t="inlineStr">
        <is>
          <t>Successful</t>
        </is>
      </c>
      <c r="V61" s="11" t="inlineStr">
        <is>
          <t>Complimentary</t>
        </is>
      </c>
      <c r="W61" s="11" t="inlineStr">
        <is>
          <t>Separate Invoice</t>
        </is>
      </c>
      <c r="X61" s="11" t="inlineStr">
        <is>
          <t>No</t>
        </is>
      </c>
      <c r="Y61" s="15" t="n"/>
      <c r="Z61" s="11" t="n"/>
    </row>
    <row r="62">
      <c r="A62" s="11" t="inlineStr">
        <is>
          <t>RAK Animal Welfare Centre</t>
        </is>
      </c>
      <c r="B62" s="12" t="n">
        <v>45822</v>
      </c>
      <c r="C62" s="13" t="inlineStr">
        <is>
          <t>Past</t>
        </is>
      </c>
      <c r="D62" s="11" t="n">
        <v>50209</v>
      </c>
      <c r="E62" s="11" t="n">
        <v>27502</v>
      </c>
      <c r="F62" s="11" t="inlineStr">
        <is>
          <t>RAKAWC</t>
        </is>
      </c>
      <c r="G62" s="11" t="inlineStr">
        <is>
          <t>-</t>
        </is>
      </c>
      <c r="H62" s="11" t="inlineStr">
        <is>
          <t>No</t>
        </is>
      </c>
      <c r="I62" s="12" t="n">
        <v>45820</v>
      </c>
      <c r="J62" s="14" t="n">
        <v>45820</v>
      </c>
      <c r="K62" s="11" t="inlineStr">
        <is>
          <t>-</t>
        </is>
      </c>
      <c r="L62" s="15" t="inlineStr">
        <is>
          <t>Gift a Meal AED 140 x 1</t>
        </is>
      </c>
      <c r="M62" s="11" t="inlineStr">
        <is>
          <t>14-06-2025</t>
        </is>
      </c>
      <c r="N62" s="11" t="inlineStr">
        <is>
          <t>Not Subscribed</t>
        </is>
      </c>
      <c r="O62" s="16" t="n">
        <v>120</v>
      </c>
      <c r="P62" s="16" t="n">
        <v>120</v>
      </c>
      <c r="Q62" s="16" t="n">
        <v>0</v>
      </c>
      <c r="R62" s="16" t="n">
        <v>0</v>
      </c>
      <c r="S62" s="16" t="n">
        <v>0</v>
      </c>
      <c r="T62" s="13" t="inlineStr">
        <is>
          <t>RAK</t>
        </is>
      </c>
      <c r="U62" s="13" t="inlineStr">
        <is>
          <t>Successful</t>
        </is>
      </c>
      <c r="V62" s="11" t="inlineStr">
        <is>
          <t>Complimentary</t>
        </is>
      </c>
      <c r="W62" s="11" t="inlineStr">
        <is>
          <t>Separate Invoice</t>
        </is>
      </c>
      <c r="X62" s="11" t="inlineStr">
        <is>
          <t>No</t>
        </is>
      </c>
      <c r="Y62" s="15" t="n"/>
      <c r="Z62" s="11" t="n"/>
    </row>
    <row r="63">
      <c r="A63" s="11" t="inlineStr">
        <is>
          <t>RAK Animal Welfare Centre</t>
        </is>
      </c>
      <c r="B63" s="12" t="n">
        <v>45836</v>
      </c>
      <c r="C63" s="13" t="inlineStr">
        <is>
          <t>Past</t>
        </is>
      </c>
      <c r="D63" s="11" t="n">
        <v>50596</v>
      </c>
      <c r="E63" s="11" t="n">
        <v>27502</v>
      </c>
      <c r="F63" s="11" t="inlineStr">
        <is>
          <t>RAKAWC</t>
        </is>
      </c>
      <c r="G63" s="11" t="inlineStr">
        <is>
          <t>-</t>
        </is>
      </c>
      <c r="H63" s="11" t="inlineStr">
        <is>
          <t>No</t>
        </is>
      </c>
      <c r="I63" s="12" t="n">
        <v>45835</v>
      </c>
      <c r="J63" s="14" t="n">
        <v>45835</v>
      </c>
      <c r="K63" s="11" t="inlineStr">
        <is>
          <t>-</t>
        </is>
      </c>
      <c r="L63" s="15" t="inlineStr">
        <is>
          <t>Gift a Meal AED 140 x 19</t>
        </is>
      </c>
      <c r="M63" s="11" t="inlineStr">
        <is>
          <t>28-06-2025</t>
        </is>
      </c>
      <c r="N63" s="11" t="inlineStr">
        <is>
          <t>Not Subscribed</t>
        </is>
      </c>
      <c r="O63" s="16" t="n">
        <v>0</v>
      </c>
      <c r="P63" s="16" t="n">
        <v>0</v>
      </c>
      <c r="Q63" s="16" t="n">
        <v>0</v>
      </c>
      <c r="R63" s="16" t="n">
        <v>0</v>
      </c>
      <c r="S63" s="16" t="n">
        <v>0</v>
      </c>
      <c r="T63" s="13" t="inlineStr">
        <is>
          <t>RAK</t>
        </is>
      </c>
      <c r="U63" s="13" t="inlineStr">
        <is>
          <t>Successful</t>
        </is>
      </c>
      <c r="V63" s="11" t="inlineStr">
        <is>
          <t>Complimentary</t>
        </is>
      </c>
      <c r="W63" s="11" t="inlineStr">
        <is>
          <t>Separate Invoice</t>
        </is>
      </c>
      <c r="X63" s="11" t="inlineStr">
        <is>
          <t>No</t>
        </is>
      </c>
      <c r="Y63" s="15" t="n"/>
      <c r="Z63" s="11" t="n"/>
    </row>
    <row r="64">
      <c r="A64" s="11" t="inlineStr">
        <is>
          <t>RAK Animal Welfare Centre</t>
        </is>
      </c>
      <c r="B64" s="12" t="n">
        <v>45911</v>
      </c>
      <c r="C64" s="13" t="inlineStr">
        <is>
          <t>Past</t>
        </is>
      </c>
      <c r="D64" s="11" t="n">
        <v>52525</v>
      </c>
      <c r="E64" s="11" t="n">
        <v>27502</v>
      </c>
      <c r="F64" s="11" t="inlineStr">
        <is>
          <t>RAKAWC</t>
        </is>
      </c>
      <c r="G64" s="11" t="inlineStr">
        <is>
          <t>-</t>
        </is>
      </c>
      <c r="H64" s="11" t="inlineStr">
        <is>
          <t>No</t>
        </is>
      </c>
      <c r="I64" s="12" t="n">
        <v>45910</v>
      </c>
      <c r="J64" s="14" t="n">
        <v>45910</v>
      </c>
      <c r="K64" s="11" t="inlineStr">
        <is>
          <t>-</t>
        </is>
      </c>
      <c r="L64" s="15" t="inlineStr">
        <is>
          <t>Wundercare Digestive Moderate Fat 1kg x 20</t>
        </is>
      </c>
      <c r="M64" s="11" t="inlineStr">
        <is>
          <t>11-09-2025</t>
        </is>
      </c>
      <c r="N64" s="11" t="inlineStr">
        <is>
          <t>Not Subscribed</t>
        </is>
      </c>
      <c r="O64" s="16" t="n">
        <v>1320</v>
      </c>
      <c r="P64" s="16" t="n">
        <v>1345</v>
      </c>
      <c r="Q64" s="16" t="n">
        <v>0</v>
      </c>
      <c r="R64" s="16" t="n">
        <v>0</v>
      </c>
      <c r="S64" s="16" t="n">
        <v>25</v>
      </c>
      <c r="T64" s="13" t="inlineStr">
        <is>
          <t>RAK</t>
        </is>
      </c>
      <c r="U64" s="13" t="inlineStr">
        <is>
          <t>Successful</t>
        </is>
      </c>
      <c r="V64" s="11" t="inlineStr">
        <is>
          <t>Complimentary</t>
        </is>
      </c>
      <c r="W64" s="11" t="inlineStr">
        <is>
          <t>Separate Invoice</t>
        </is>
      </c>
      <c r="X64" s="11" t="inlineStr">
        <is>
          <t>No</t>
        </is>
      </c>
      <c r="Y64" s="15" t="n"/>
      <c r="Z64" s="11" t="n"/>
    </row>
    <row r="65">
      <c r="A65" s="11" t="inlineStr">
        <is>
          <t>RAK Animal Welfare Centre</t>
        </is>
      </c>
      <c r="B65" s="12" t="n">
        <v>46009</v>
      </c>
      <c r="C65" s="13" t="inlineStr">
        <is>
          <t>Past</t>
        </is>
      </c>
      <c r="D65" s="11" t="n">
        <v>65587</v>
      </c>
      <c r="E65" s="11" t="n">
        <v>27502</v>
      </c>
      <c r="F65" s="11" t="inlineStr">
        <is>
          <t>RAKAWC</t>
        </is>
      </c>
      <c r="G65" s="11" t="inlineStr">
        <is>
          <t>-</t>
        </is>
      </c>
      <c r="H65" s="11" t="inlineStr">
        <is>
          <t>No</t>
        </is>
      </c>
      <c r="I65" s="12" t="n">
        <v>46007</v>
      </c>
      <c r="J65" s="14" t="n">
        <v>46007</v>
      </c>
      <c r="K65" s="11" t="inlineStr">
        <is>
          <t>-</t>
        </is>
      </c>
      <c r="L65" s="15" t="inlineStr">
        <is>
          <t>Gift a Meal AED 140 x 1</t>
        </is>
      </c>
      <c r="M65" s="11" t="inlineStr">
        <is>
          <t>18-12-2025</t>
        </is>
      </c>
      <c r="N65" s="11" t="inlineStr">
        <is>
          <t>Not Subscribed</t>
        </is>
      </c>
      <c r="O65" s="16" t="n">
        <v>0</v>
      </c>
      <c r="P65" s="16" t="n">
        <v>25</v>
      </c>
      <c r="Q65" s="16" t="n">
        <v>0</v>
      </c>
      <c r="R65" s="16" t="n">
        <v>0</v>
      </c>
      <c r="S65" s="16" t="n">
        <v>25</v>
      </c>
      <c r="T65" s="13" t="inlineStr">
        <is>
          <t>RAK</t>
        </is>
      </c>
      <c r="U65" s="13" t="inlineStr">
        <is>
          <t>Successful</t>
        </is>
      </c>
      <c r="V65" s="11" t="inlineStr">
        <is>
          <t>Complimentary</t>
        </is>
      </c>
      <c r="W65" s="11" t="inlineStr">
        <is>
          <t>Separate Invoice</t>
        </is>
      </c>
      <c r="X65" s="11" t="inlineStr">
        <is>
          <t>No</t>
        </is>
      </c>
      <c r="Y65" s="15" t="n"/>
      <c r="Z65" s="11" t="n"/>
    </row>
    <row r="66">
      <c r="A66" s="11" t="inlineStr">
        <is>
          <t>RAK Animal Welfare Centre</t>
        </is>
      </c>
      <c r="B66" s="12" t="n">
        <v>46086</v>
      </c>
      <c r="C66" s="13" t="inlineStr">
        <is>
          <t>Past</t>
        </is>
      </c>
      <c r="D66" s="11" t="n">
        <v>68190</v>
      </c>
      <c r="E66" s="11" t="n">
        <v>27502</v>
      </c>
      <c r="F66" s="11" t="inlineStr">
        <is>
          <t>RAKAWC</t>
        </is>
      </c>
      <c r="G66" s="11" t="inlineStr">
        <is>
          <t>-</t>
        </is>
      </c>
      <c r="H66" s="11" t="inlineStr">
        <is>
          <t>No</t>
        </is>
      </c>
      <c r="I66" s="12" t="n">
        <v>46080</v>
      </c>
      <c r="J66" s="14" t="n">
        <v>46080</v>
      </c>
      <c r="K66" s="11" t="inlineStr">
        <is>
          <t>-</t>
        </is>
      </c>
      <c r="L66" s="15" t="inlineStr">
        <is>
          <t>Samples x 1</t>
        </is>
      </c>
      <c r="M66" s="11" t="inlineStr">
        <is>
          <t>05-03-2026</t>
        </is>
      </c>
      <c r="N66" s="11" t="inlineStr">
        <is>
          <t>Not Subscribed</t>
        </is>
      </c>
      <c r="O66" s="16" t="n">
        <v>0</v>
      </c>
      <c r="P66" s="16" t="n">
        <v>25</v>
      </c>
      <c r="Q66" s="16" t="n">
        <v>0</v>
      </c>
      <c r="R66" s="16" t="n">
        <v>0</v>
      </c>
      <c r="S66" s="16" t="n">
        <v>25</v>
      </c>
      <c r="T66" s="13" t="inlineStr">
        <is>
          <t>RAK</t>
        </is>
      </c>
      <c r="U66" s="13" t="inlineStr">
        <is>
          <t>Successful</t>
        </is>
      </c>
      <c r="V66" s="11" t="inlineStr">
        <is>
          <t>Complimentary</t>
        </is>
      </c>
      <c r="W66" s="11" t="inlineStr">
        <is>
          <t>Separate Invoice</t>
        </is>
      </c>
      <c r="X66" s="11" t="inlineStr">
        <is>
          <t>No</t>
        </is>
      </c>
      <c r="Y66" s="15" t="n"/>
      <c r="Z66" s="11" t="n"/>
    </row>
    <row r="67">
      <c r="A67" s="11" t="inlineStr">
        <is>
          <t>A's Ark Rescue</t>
        </is>
      </c>
      <c r="B67" s="12" t="n">
        <v>46272</v>
      </c>
      <c r="C67" s="13" t="inlineStr">
        <is>
          <t>Past</t>
        </is>
      </c>
      <c r="D67" s="11" t="n">
        <v>75772</v>
      </c>
      <c r="E67" s="11" t="n">
        <v>43473</v>
      </c>
      <c r="F67" s="11" t="inlineStr">
        <is>
          <t>A's Ark Rescue</t>
        </is>
      </c>
      <c r="G67" s="11" t="inlineStr">
        <is>
          <t>-</t>
        </is>
      </c>
      <c r="H67" s="11" t="inlineStr">
        <is>
          <t>No</t>
        </is>
      </c>
      <c r="I67" s="12" t="n">
        <v>46269</v>
      </c>
      <c r="J67" s="14" t="n"/>
      <c r="K67" s="11" t="inlineStr">
        <is>
          <t>-</t>
        </is>
      </c>
      <c r="L67" s="15" t="inlineStr">
        <is>
          <t>Samples x 1</t>
        </is>
      </c>
      <c r="M67" s="11" t="inlineStr">
        <is>
          <t>07-09-2026</t>
        </is>
      </c>
      <c r="N67" s="11" t="inlineStr">
        <is>
          <t>Not Subscribed</t>
        </is>
      </c>
      <c r="O67" s="16" t="n">
        <v>0</v>
      </c>
      <c r="P67" s="16" t="n">
        <v>0</v>
      </c>
      <c r="Q67" s="16" t="n">
        <v>0</v>
      </c>
      <c r="R67" s="16" t="n">
        <v>0</v>
      </c>
      <c r="S67" s="16" t="n">
        <v>0</v>
      </c>
      <c r="T67" s="13" t="inlineStr">
        <is>
          <t>Dubai</t>
        </is>
      </c>
      <c r="U67" s="13" t="inlineStr">
        <is>
          <t>Successful</t>
        </is>
      </c>
      <c r="V67" s="11" t="inlineStr">
        <is>
          <t>Complimentary</t>
        </is>
      </c>
      <c r="W67" s="11" t="inlineStr">
        <is>
          <t>Separate Invoice</t>
        </is>
      </c>
      <c r="X67" s="11" t="inlineStr">
        <is>
          <t>No</t>
        </is>
      </c>
      <c r="Y67" s="15" t="inlineStr">
        <is>
          <t>Gift A Meal - Pick up - 16kg Renal Early (4 bundles) + 72kg GAM (12 bundles). Total 16 bundles marked as successful in donation deliveries. This is for logistic purposes created checkout</t>
        </is>
      </c>
      <c r="Z67" s="11" t="n"/>
    </row>
    <row r="68">
      <c r="A68" s="11" t="inlineStr">
        <is>
          <t>A's Ark Rescue</t>
        </is>
      </c>
      <c r="B68" s="12" t="n">
        <v>46279</v>
      </c>
      <c r="C68" s="13" t="inlineStr">
        <is>
          <t>Past</t>
        </is>
      </c>
      <c r="D68" s="11" t="n">
        <v>76195</v>
      </c>
      <c r="E68" s="11" t="n">
        <v>43473</v>
      </c>
      <c r="F68" s="11" t="inlineStr">
        <is>
          <t>A's Ark Rescue</t>
        </is>
      </c>
      <c r="G68" s="11" t="inlineStr">
        <is>
          <t>-</t>
        </is>
      </c>
      <c r="H68" s="11" t="inlineStr">
        <is>
          <t>No</t>
        </is>
      </c>
      <c r="I68" s="12" t="n">
        <v>46279</v>
      </c>
      <c r="J68" s="14" t="n"/>
      <c r="K68" s="11" t="inlineStr">
        <is>
          <t>-</t>
        </is>
      </c>
      <c r="L68" s="15" t="inlineStr">
        <is>
          <t>Samples x 1</t>
        </is>
      </c>
      <c r="M68" s="11" t="inlineStr">
        <is>
          <t>14-09-2026</t>
        </is>
      </c>
      <c r="N68" s="11" t="inlineStr">
        <is>
          <t>Not Subscribed</t>
        </is>
      </c>
      <c r="O68" s="16" t="n">
        <v>0</v>
      </c>
      <c r="P68" s="16" t="n">
        <v>0</v>
      </c>
      <c r="Q68" s="16" t="n">
        <v>0</v>
      </c>
      <c r="R68" s="16" t="n">
        <v>0</v>
      </c>
      <c r="S68" s="16" t="n">
        <v>0</v>
      </c>
      <c r="T68" s="13" t="inlineStr">
        <is>
          <t>Dubai</t>
        </is>
      </c>
      <c r="U68" s="13" t="inlineStr">
        <is>
          <t>Successful</t>
        </is>
      </c>
      <c r="V68" s="11" t="inlineStr">
        <is>
          <t>Complimentary</t>
        </is>
      </c>
      <c r="W68" s="11" t="inlineStr">
        <is>
          <t>Separate Invoice</t>
        </is>
      </c>
      <c r="X68" s="11" t="inlineStr">
        <is>
          <t>No</t>
        </is>
      </c>
      <c r="Y68" s="15" t="inlineStr">
        <is>
          <t>Gift a  meal bookin for pick up. 
These donations are already marked as successful under donation deliveries. 
Aside from food there are samples as this rescue is not just a shelter but we also have referral agreement with them, and this decision is made by me and Abboud. 
Andrea</t>
        </is>
      </c>
      <c r="Z68" s="11" t="n"/>
    </row>
    <row r="70">
      <c r="A70" s="10" t="inlineStr">
        <is>
          <t>Total checkouts</t>
        </is>
      </c>
      <c r="B70" s="10">
        <f>COUNTA(D5:D68)</f>
        <v/>
      </c>
    </row>
  </sheetData>
  <autoFilter ref="A4:Z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showGridLines="0" workbookViewId="0">
      <pane ySplit="4" topLeftCell="A5" activePane="bottomLeft" state="frozen"/>
      <selection pane="bottomLeft" activeCell="A1" sqref="A1"/>
    </sheetView>
  </sheetViews>
  <sheetFormatPr baseColWidth="8" defaultRowHeight="15"/>
  <cols>
    <col width="32" customWidth="1" min="1" max="1"/>
    <col width="15" customWidth="1" min="2" max="2"/>
    <col width="15" customWidth="1" min="3" max="3"/>
    <col width="11" customWidth="1" min="4" max="4"/>
    <col width="9" customWidth="1" min="5" max="5"/>
    <col width="12" customWidth="1" min="6" max="6"/>
    <col width="12" customWidth="1" min="7" max="7"/>
    <col width="12" customWidth="1" min="8" max="8"/>
    <col width="17" customWidth="1" min="9" max="9"/>
    <col width="17" customWidth="1" min="10" max="10"/>
    <col width="17" customWidth="1" min="11" max="11"/>
  </cols>
  <sheetData>
    <row r="1">
      <c r="A1" s="1" t="inlineStr">
        <is>
          <t>Summary by Shelter</t>
        </is>
      </c>
    </row>
    <row r="2">
      <c r="A2" s="2" t="inlineStr">
        <is>
          <t>All figures are formulas over the "All Shelter Checkouts" tab. Amounts in AED.</t>
        </is>
      </c>
    </row>
    <row r="4">
      <c r="A4" s="3" t="inlineStr">
        <is>
          <t>Shelter</t>
        </is>
      </c>
      <c r="B4" s="3" t="inlineStr">
        <is>
          <t>Region</t>
        </is>
      </c>
      <c r="C4" s="3" t="inlineStr">
        <is>
          <t>Total checkouts</t>
        </is>
      </c>
      <c r="D4" s="3" t="inlineStr">
        <is>
          <t>Upcoming</t>
        </is>
      </c>
      <c r="E4" s="3" t="inlineStr">
        <is>
          <t>Past</t>
        </is>
      </c>
      <c r="F4" s="3" t="inlineStr">
        <is>
          <t>Successful</t>
        </is>
      </c>
      <c r="G4" s="3" t="inlineStr">
        <is>
          <t>Abandoned</t>
        </is>
      </c>
      <c r="H4" s="3" t="inlineStr">
        <is>
          <t>Processing</t>
        </is>
      </c>
      <c r="I4" s="3" t="inlineStr">
        <is>
          <t>Earliest delivery</t>
        </is>
      </c>
      <c r="J4" s="3" t="inlineStr">
        <is>
          <t>Latest delivery</t>
        </is>
      </c>
      <c r="K4" s="3" t="inlineStr">
        <is>
          <t>Total Amount (AED)</t>
        </is>
      </c>
    </row>
    <row r="5">
      <c r="A5" s="17" t="inlineStr">
        <is>
          <t>Stray Dogs Center</t>
        </is>
      </c>
      <c r="B5" s="17" t="inlineStr">
        <is>
          <t>Umm Al Quwain</t>
        </is>
      </c>
      <c r="C5" s="18">
        <f>COUNTIF('All Shelter Checkouts'!$A$5:$A$68,$A5)</f>
        <v/>
      </c>
      <c r="D5" s="18">
        <f>COUNTIFS('All Shelter Checkouts'!$A$5:$A$68,$A5,'All Shelter Checkouts'!$C$5:$C$68,"Upcoming")</f>
        <v/>
      </c>
      <c r="E5" s="18">
        <f>COUNTIFS('All Shelter Checkouts'!$A$5:$A$68,$A5,'All Shelter Checkouts'!$C$5:$C$68,"Past")</f>
        <v/>
      </c>
      <c r="F5" s="18">
        <f>COUNTIFS('All Shelter Checkouts'!$A$5:$A$68,$A5,'All Shelter Checkouts'!$U$5:$U$68,"Successful")</f>
        <v/>
      </c>
      <c r="G5" s="18">
        <f>COUNTIFS('All Shelter Checkouts'!$A$5:$A$68,$A5,'All Shelter Checkouts'!$U$5:$U$68,"Abandoned")</f>
        <v/>
      </c>
      <c r="H5" s="18">
        <f>COUNTIFS('All Shelter Checkouts'!$A$5:$A$68,$A5,'All Shelter Checkouts'!$U$5:$U$68,"Processing")</f>
        <v/>
      </c>
      <c r="I5" s="19">
        <f>_xlfn.MINIFS('All Shelter Checkouts'!$B$5:$B$68,'All Shelter Checkouts'!$A$5:$A$68,$A5)</f>
        <v/>
      </c>
      <c r="J5" s="19">
        <f>_xlfn.MAXIFS('All Shelter Checkouts'!$B$5:$B$68,'All Shelter Checkouts'!$A$5:$A$68,$A5)</f>
        <v/>
      </c>
      <c r="K5" s="20">
        <f>SUMIF('All Shelter Checkouts'!$A$5:$A$68,$A5,'All Shelter Checkouts'!$Q$5:$Q$68)</f>
        <v/>
      </c>
    </row>
    <row r="6">
      <c r="A6" s="17" t="inlineStr">
        <is>
          <t>Haven of Hope</t>
        </is>
      </c>
      <c r="B6" s="17" t="inlineStr">
        <is>
          <t>Dubai</t>
        </is>
      </c>
      <c r="C6" s="18">
        <f>COUNTIF('All Shelter Checkouts'!$A$5:$A$68,$A6)</f>
        <v/>
      </c>
      <c r="D6" s="18">
        <f>COUNTIFS('All Shelter Checkouts'!$A$5:$A$68,$A6,'All Shelter Checkouts'!$C$5:$C$68,"Upcoming")</f>
        <v/>
      </c>
      <c r="E6" s="18">
        <f>COUNTIFS('All Shelter Checkouts'!$A$5:$A$68,$A6,'All Shelter Checkouts'!$C$5:$C$68,"Past")</f>
        <v/>
      </c>
      <c r="F6" s="18">
        <f>COUNTIFS('All Shelter Checkouts'!$A$5:$A$68,$A6,'All Shelter Checkouts'!$U$5:$U$68,"Successful")</f>
        <v/>
      </c>
      <c r="G6" s="18">
        <f>COUNTIFS('All Shelter Checkouts'!$A$5:$A$68,$A6,'All Shelter Checkouts'!$U$5:$U$68,"Abandoned")</f>
        <v/>
      </c>
      <c r="H6" s="18">
        <f>COUNTIFS('All Shelter Checkouts'!$A$5:$A$68,$A6,'All Shelter Checkouts'!$U$5:$U$68,"Processing")</f>
        <v/>
      </c>
      <c r="I6" s="19">
        <f>_xlfn.MINIFS('All Shelter Checkouts'!$B$5:$B$68,'All Shelter Checkouts'!$A$5:$A$68,$A6)</f>
        <v/>
      </c>
      <c r="J6" s="19">
        <f>_xlfn.MAXIFS('All Shelter Checkouts'!$B$5:$B$68,'All Shelter Checkouts'!$A$5:$A$68,$A6)</f>
        <v/>
      </c>
      <c r="K6" s="20">
        <f>SUMIF('All Shelter Checkouts'!$A$5:$A$68,$A6,'All Shelter Checkouts'!$Q$5:$Q$68)</f>
        <v/>
      </c>
    </row>
    <row r="7">
      <c r="A7" s="17" t="inlineStr">
        <is>
          <t>Second Chance Animal Sanctuary</t>
        </is>
      </c>
      <c r="B7" s="17" t="inlineStr">
        <is>
          <t>RAK</t>
        </is>
      </c>
      <c r="C7" s="18">
        <f>COUNTIF('All Shelter Checkouts'!$A$5:$A$68,$A7)</f>
        <v/>
      </c>
      <c r="D7" s="18">
        <f>COUNTIFS('All Shelter Checkouts'!$A$5:$A$68,$A7,'All Shelter Checkouts'!$C$5:$C$68,"Upcoming")</f>
        <v/>
      </c>
      <c r="E7" s="18">
        <f>COUNTIFS('All Shelter Checkouts'!$A$5:$A$68,$A7,'All Shelter Checkouts'!$C$5:$C$68,"Past")</f>
        <v/>
      </c>
      <c r="F7" s="18">
        <f>COUNTIFS('All Shelter Checkouts'!$A$5:$A$68,$A7,'All Shelter Checkouts'!$U$5:$U$68,"Successful")</f>
        <v/>
      </c>
      <c r="G7" s="18">
        <f>COUNTIFS('All Shelter Checkouts'!$A$5:$A$68,$A7,'All Shelter Checkouts'!$U$5:$U$68,"Abandoned")</f>
        <v/>
      </c>
      <c r="H7" s="18">
        <f>COUNTIFS('All Shelter Checkouts'!$A$5:$A$68,$A7,'All Shelter Checkouts'!$U$5:$U$68,"Processing")</f>
        <v/>
      </c>
      <c r="I7" s="19">
        <f>_xlfn.MINIFS('All Shelter Checkouts'!$B$5:$B$68,'All Shelter Checkouts'!$A$5:$A$68,$A7)</f>
        <v/>
      </c>
      <c r="J7" s="19">
        <f>_xlfn.MAXIFS('All Shelter Checkouts'!$B$5:$B$68,'All Shelter Checkouts'!$A$5:$A$68,$A7)</f>
        <v/>
      </c>
      <c r="K7" s="20">
        <f>SUMIF('All Shelter Checkouts'!$A$5:$A$68,$A7,'All Shelter Checkouts'!$Q$5:$Q$68)</f>
        <v/>
      </c>
    </row>
    <row r="8">
      <c r="A8" s="17" t="inlineStr">
        <is>
          <t>RAK Animal Welfare Centre</t>
        </is>
      </c>
      <c r="B8" s="17" t="inlineStr">
        <is>
          <t>RAK</t>
        </is>
      </c>
      <c r="C8" s="18">
        <f>COUNTIF('All Shelter Checkouts'!$A$5:$A$68,$A8)</f>
        <v/>
      </c>
      <c r="D8" s="18">
        <f>COUNTIFS('All Shelter Checkouts'!$A$5:$A$68,$A8,'All Shelter Checkouts'!$C$5:$C$68,"Upcoming")</f>
        <v/>
      </c>
      <c r="E8" s="18">
        <f>COUNTIFS('All Shelter Checkouts'!$A$5:$A$68,$A8,'All Shelter Checkouts'!$C$5:$C$68,"Past")</f>
        <v/>
      </c>
      <c r="F8" s="18">
        <f>COUNTIFS('All Shelter Checkouts'!$A$5:$A$68,$A8,'All Shelter Checkouts'!$U$5:$U$68,"Successful")</f>
        <v/>
      </c>
      <c r="G8" s="18">
        <f>COUNTIFS('All Shelter Checkouts'!$A$5:$A$68,$A8,'All Shelter Checkouts'!$U$5:$U$68,"Abandoned")</f>
        <v/>
      </c>
      <c r="H8" s="18">
        <f>COUNTIFS('All Shelter Checkouts'!$A$5:$A$68,$A8,'All Shelter Checkouts'!$U$5:$U$68,"Processing")</f>
        <v/>
      </c>
      <c r="I8" s="19">
        <f>_xlfn.MINIFS('All Shelter Checkouts'!$B$5:$B$68,'All Shelter Checkouts'!$A$5:$A$68,$A8)</f>
        <v/>
      </c>
      <c r="J8" s="19">
        <f>_xlfn.MAXIFS('All Shelter Checkouts'!$B$5:$B$68,'All Shelter Checkouts'!$A$5:$A$68,$A8)</f>
        <v/>
      </c>
      <c r="K8" s="20">
        <f>SUMIF('All Shelter Checkouts'!$A$5:$A$68,$A8,'All Shelter Checkouts'!$Q$5:$Q$68)</f>
        <v/>
      </c>
    </row>
    <row r="9">
      <c r="A9" s="17" t="inlineStr">
        <is>
          <t>A's Ark Rescue</t>
        </is>
      </c>
      <c r="B9" s="17" t="inlineStr">
        <is>
          <t>Dubai</t>
        </is>
      </c>
      <c r="C9" s="18">
        <f>COUNTIF('All Shelter Checkouts'!$A$5:$A$68,$A9)</f>
        <v/>
      </c>
      <c r="D9" s="18">
        <f>COUNTIFS('All Shelter Checkouts'!$A$5:$A$68,$A9,'All Shelter Checkouts'!$C$5:$C$68,"Upcoming")</f>
        <v/>
      </c>
      <c r="E9" s="18">
        <f>COUNTIFS('All Shelter Checkouts'!$A$5:$A$68,$A9,'All Shelter Checkouts'!$C$5:$C$68,"Past")</f>
        <v/>
      </c>
      <c r="F9" s="18">
        <f>COUNTIFS('All Shelter Checkouts'!$A$5:$A$68,$A9,'All Shelter Checkouts'!$U$5:$U$68,"Successful")</f>
        <v/>
      </c>
      <c r="G9" s="18">
        <f>COUNTIFS('All Shelter Checkouts'!$A$5:$A$68,$A9,'All Shelter Checkouts'!$U$5:$U$68,"Abandoned")</f>
        <v/>
      </c>
      <c r="H9" s="18">
        <f>COUNTIFS('All Shelter Checkouts'!$A$5:$A$68,$A9,'All Shelter Checkouts'!$U$5:$U$68,"Processing")</f>
        <v/>
      </c>
      <c r="I9" s="19">
        <f>_xlfn.MINIFS('All Shelter Checkouts'!$B$5:$B$68,'All Shelter Checkouts'!$A$5:$A$68,$A9)</f>
        <v/>
      </c>
      <c r="J9" s="19">
        <f>_xlfn.MAXIFS('All Shelter Checkouts'!$B$5:$B$68,'All Shelter Checkouts'!$A$5:$A$68,$A9)</f>
        <v/>
      </c>
      <c r="K9" s="20">
        <f>SUMIF('All Shelter Checkouts'!$A$5:$A$68,$A9,'All Shelter Checkouts'!$Q$5:$Q$68)</f>
        <v/>
      </c>
    </row>
    <row r="10">
      <c r="A10" s="21" t="inlineStr">
        <is>
          <t>Total</t>
        </is>
      </c>
      <c r="B10" s="21" t="n"/>
      <c r="C10" s="22">
        <f>SUM(C5:C9)</f>
        <v/>
      </c>
      <c r="D10" s="22">
        <f>SUM(D5:D9)</f>
        <v/>
      </c>
      <c r="E10" s="22">
        <f>SUM(E5:E9)</f>
        <v/>
      </c>
      <c r="F10" s="22">
        <f>SUM(F5:F9)</f>
        <v/>
      </c>
      <c r="G10" s="22">
        <f>SUM(G5:G9)</f>
        <v/>
      </c>
      <c r="H10" s="22">
        <f>SUM(H5:H9)</f>
        <v/>
      </c>
      <c r="I10" s="23">
        <f>MIN(I5:I9)</f>
        <v/>
      </c>
      <c r="J10" s="23">
        <f>MAX(J5:J9)</f>
        <v/>
      </c>
      <c r="K10" s="24">
        <f>SUM(K5:K9)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0" customWidth="1" min="1" max="1"/>
    <col width="110" customWidth="1" min="2" max="2"/>
  </cols>
  <sheetData>
    <row r="1">
      <c r="A1" s="1" t="inlineStr">
        <is>
          <t>Notes &amp; Method</t>
        </is>
      </c>
    </row>
    <row r="3" ht="15" customHeight="1">
      <c r="A3" s="25" t="inlineStr">
        <is>
          <t>Source file</t>
        </is>
      </c>
      <c r="B3" s="26" t="inlineStr">
        <is>
          <t>checkouts_template_2025-01-01_to_2027-12-31.xlsx, sheet "Checkouts (Template)" (19,350 checkout rows).</t>
        </is>
      </c>
    </row>
    <row r="5" ht="15" customHeight="1">
      <c r="A5" s="25" t="inlineStr">
        <is>
          <t>Prepared</t>
        </is>
      </c>
      <c r="B5" s="26" t="inlineStr">
        <is>
          <t>19 September 2026.</t>
        </is>
      </c>
    </row>
    <row r="7" ht="26" customHeight="1">
      <c r="A7" s="25" t="inlineStr">
        <is>
          <t>Shelters requested</t>
        </is>
      </c>
      <c r="B7" s="26" t="inlineStr">
        <is>
          <t>Stray Dogs Center; Haven of Hope; Second Chance Animal Sanctuary; RAK Animal Welfare Centre; A's Ark Rescue.</t>
        </is>
      </c>
    </row>
    <row r="9" ht="52" customHeight="1">
      <c r="A9" s="25" t="inlineStr">
        <is>
          <t>How they were matched</t>
        </is>
      </c>
      <c r="B9" s="26" t="inlineStr">
        <is>
          <t>Matched on "Customer Name" in the source. Names as stored: "Stray Dogs Center" (Customer # 40246), "Haven Of Hope Rescue" (41785), "Second Chance Animal Sanctuary" (29813), "RAKAWC" (27502), "A's Ark Rescue" (43473). RAKAWC = RAK Animal Welfare Centre, confirmed by Mariette. Each shelter maps to exactly one customer number; no other name variants or duplicate accounts were found.</t>
        </is>
      </c>
    </row>
    <row r="11" ht="65" customHeight="1">
      <c r="A11" s="25" t="inlineStr">
        <is>
          <t>"Scheduled" - important</t>
        </is>
      </c>
      <c r="B11" s="26" t="inlineStr">
        <is>
          <t>The source has a Status column whose forward-looking values are "Scheduled" and "Arranged". NO checkout for any of these five shelters carries either status - all 64 of their checkouts are Checkout Type "Separate Invoice", which in this export only ever takes Successful / Abandoned / Processing. "Scheduled" is therefore interpreted here as scheduled-for-delivery: a checkout whose Delivery Date falls on or after 19 Sep 2026.</t>
        </is>
      </c>
    </row>
    <row r="13" ht="39" customHeight="1">
      <c r="A13" s="25" t="inlineStr">
        <is>
          <t>Upcoming Checkouts tab</t>
        </is>
      </c>
      <c r="B13" s="26" t="inlineStr">
        <is>
          <t>The 5 checkouts meeting that test, ordered by delivery date. Note 3 of them (Stray Dogs Center) have Status "Abandoned", i.e. raised but not settled - they are included so nothing is hidden, but they should be confirmed before being treated as firm deliveries.</t>
        </is>
      </c>
    </row>
    <row r="15" ht="26" customHeight="1">
      <c r="A15" s="25" t="inlineStr">
        <is>
          <t>All Shelter Checkouts tab</t>
        </is>
      </c>
      <c r="B15" s="26" t="inlineStr">
        <is>
          <t>All 64 checkouts for the five shelters, so the upcoming ones can be read in context. Upcoming rows are shaded yellow.</t>
        </is>
      </c>
    </row>
    <row r="17" ht="26" customHeight="1">
      <c r="A17" s="25" t="inlineStr">
        <is>
          <t>Delivery Date column</t>
        </is>
      </c>
      <c r="B17" s="26" t="inlineStr">
        <is>
          <t>Added by this extract: the source "Delivery Dates" text parsed to a real date. Every shelter row holds a single date (no multi-date subscription schedules), so the parse is one-to-one. Both columns are shown.</t>
        </is>
      </c>
    </row>
    <row r="19" ht="15" customHeight="1">
      <c r="A19" s="25" t="inlineStr">
        <is>
          <t>Timing column</t>
        </is>
      </c>
      <c r="B19" s="26" t="inlineStr">
        <is>
          <t>Added by this extract: "Upcoming" if Delivery Date &gt;= 19 Sep 2026, otherwise "Past".</t>
        </is>
      </c>
    </row>
    <row r="21" ht="39" customHeight="1">
      <c r="A21" s="25" t="inlineStr">
        <is>
          <t>Columns dropped</t>
        </is>
      </c>
      <c r="B21" s="26" t="inlineStr">
        <is>
          <t>Source columns empty for all 64 rows were omitted: Customer Pets; Delivery Plan; Failure Reason. The running "No." index was also dropped as it refers to the full 19,350-row export. Every other source column is kept unchanged.</t>
        </is>
      </c>
    </row>
    <row r="23" ht="39" customHeight="1">
      <c r="A23" s="25" t="inlineStr">
        <is>
          <t>Constant columns kept</t>
        </is>
      </c>
      <c r="B23" s="26" t="inlineStr">
        <is>
          <t>These are identical on all 64 rows and kept for completeness: Subscription Plan = "-"; Wunderbar = "No"; End of Subscription = "-"; Subscription Status = "Not Subscribed"; Checkout Type = "Separate Invoice"; Donation = "No".</t>
        </is>
      </c>
    </row>
    <row r="25" ht="26" customHeight="1">
      <c r="A25" s="25" t="inlineStr">
        <is>
          <t>Amounts</t>
        </is>
      </c>
      <c r="B25" s="26" t="inlineStr">
        <is>
          <t>AED, copied from the source unchanged. Most shelter checkouts are Complimentary (Gift a Meal donations) at AED 0; the AED 25 lines are delivery charges on Manual Credit Card checkouts.</t>
        </is>
      </c>
    </row>
    <row r="27" ht="15" customHeight="1">
      <c r="A27" s="25" t="inlineStr">
        <is>
          <t>Figures on Summary tab</t>
        </is>
      </c>
      <c r="B27" s="26" t="inlineStr">
        <is>
          <t>All live formulas over the All Shelter Checkouts tab - they update if rows are edited or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2026-09-19T05:48:12Z</dcterms:created>
  <dcterms:modified xsi:type="dcterms:W3CDTF">2026-09-19T05:48:12Z</dcterms:modified>
</cp:coreProperties>
</file>